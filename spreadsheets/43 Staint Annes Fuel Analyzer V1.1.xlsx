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el Fills" sheetId="1" state="visible" r:id="rId1"/>
    <sheet xmlns:r="http://schemas.openxmlformats.org/officeDocument/2006/relationships" name="Gauge Readings" sheetId="2" state="visible" r:id="rId2"/>
    <sheet xmlns:r="http://schemas.openxmlformats.org/officeDocument/2006/relationships" name="Weather Data" sheetId="3" state="visible" r:id="rId3"/>
    <sheet xmlns:r="http://schemas.openxmlformats.org/officeDocument/2006/relationships" name="Analysis" sheetId="4" state="visible" r:id="rId4"/>
    <sheet xmlns:r="http://schemas.openxmlformats.org/officeDocument/2006/relationships" name="Instructions" sheetId="5" state="visible" r:id="rId5"/>
    <sheet xmlns:r="http://schemas.openxmlformats.org/officeDocument/2006/relationships" name="Q1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0.000"/>
    <numFmt numFmtId="165" formatCode="$#,##0.00"/>
    <numFmt numFmtId="166" formatCode="yyyy-mm-dd h:mm:ss"/>
    <numFmt numFmtId="167" formatCode="$0.00"/>
    <numFmt numFmtId="168" formatCode="0.0"/>
    <numFmt numFmtId="169" formatCode="0.000"/>
    <numFmt numFmtId="170" formatCode="YYYY-MM-DD"/>
  </numFmts>
  <fonts count="21">
    <font>
      <name val="Calibri"/>
      <color theme="1"/>
      <sz val="11"/>
      <scheme val="minor"/>
    </font>
    <font>
      <name val="Calibri"/>
      <b val="1"/>
      <color rgb="FFFFFFFF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rgb="FFC00000"/>
      <scheme val="minor"/>
    </font>
    <font>
      <name val="Calibri"/>
      <b val="1"/>
      <color rgb="FFFFFFFF"/>
      <sz val="16"/>
      <scheme val="minor"/>
    </font>
    <font/>
    <font>
      <name val="Calibri"/>
      <b val="1"/>
      <color theme="1"/>
      <scheme val="minor"/>
    </font>
    <font>
      <name val="Calibri"/>
      <b val="1"/>
      <color theme="1"/>
      <sz val="12"/>
      <scheme val="minor"/>
    </font>
    <font>
      <name val="Calibri"/>
      <b val="1"/>
      <color rgb="FFFFFFFF"/>
      <sz val="12"/>
      <scheme val="minor"/>
    </font>
    <font>
      <name val="Calibri"/>
      <b val="1"/>
      <color theme="1"/>
      <sz val="11"/>
      <scheme val="minor"/>
    </font>
    <font>
      <name val="Calibri"/>
      <b val="1"/>
      <color theme="1"/>
      <sz val="16"/>
      <scheme val="minor"/>
    </font>
    <font>
      <name val="Calibri"/>
      <color theme="1"/>
      <sz val="10"/>
      <scheme val="minor"/>
    </font>
    <font>
      <b val="1"/>
      <color rgb="00FFFFFF"/>
      <sz val="16"/>
    </font>
    <font>
      <b val="1"/>
      <color rgb="00FFFFFF"/>
      <sz val="14"/>
    </font>
    <font>
      <b val="1"/>
    </font>
    <font>
      <b val="1"/>
      <color rgb="00C00000"/>
      <sz val="12"/>
    </font>
    <font>
      <b val="1"/>
      <color rgb="00FFFFFF"/>
    </font>
    <font>
      <b val="1"/>
      <sz val="11"/>
    </font>
    <font>
      <i val="1"/>
      <color rgb="00808080"/>
    </font>
    <font>
      <i val="1"/>
    </font>
  </fonts>
  <fills count="19">
    <fill>
      <patternFill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FFE599"/>
        <bgColor rgb="FFFFE599"/>
      </patternFill>
    </fill>
    <fill>
      <patternFill patternType="solid">
        <fgColor rgb="FF70AD47"/>
        <bgColor rgb="FF70AD47"/>
      </patternFill>
    </fill>
    <fill>
      <patternFill patternType="solid">
        <fgColor rgb="FF44546A"/>
        <bgColor rgb="FF44546A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D9E1F2"/>
        <bgColor rgb="FFD9E1F2"/>
      </patternFill>
    </fill>
    <fill>
      <patternFill patternType="solid">
        <fgColor rgb="0044546A"/>
        <bgColor rgb="0044546A"/>
      </patternFill>
    </fill>
    <fill>
      <patternFill patternType="solid">
        <fgColor rgb="00C00000"/>
        <bgColor rgb="00C00000"/>
      </patternFill>
    </fill>
    <fill>
      <patternFill patternType="solid">
        <fgColor rgb="00FFE699"/>
        <bgColor rgb="00FFE699"/>
      </patternFill>
    </fill>
    <fill>
      <patternFill patternType="solid">
        <fgColor rgb="0070AD47"/>
        <bgColor rgb="0070AD47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E2EFDA"/>
        <bgColor rgb="00E2EFDA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numFmtId="0" fontId="0" fillId="0" borderId="0"/>
  </cellStyleXfs>
  <cellXfs count="5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164" fontId="3" fillId="0" borderId="0" pivotButton="0" quotePrefix="0" xfId="0"/>
    <xf numFmtId="165" fontId="3" fillId="3" borderId="0" pivotButton="0" quotePrefix="0" xfId="0"/>
    <xf numFmtId="0" fontId="1" fillId="4" borderId="1" applyAlignment="1" pivotButton="0" quotePrefix="0" xfId="0">
      <alignment horizontal="center"/>
    </xf>
    <xf numFmtId="166" fontId="3" fillId="0" borderId="0" pivotButton="0" quotePrefix="0" xfId="0"/>
    <xf numFmtId="0" fontId="4" fillId="0" borderId="0" pivotButton="0" quotePrefix="0" xfId="0"/>
    <xf numFmtId="0" fontId="5" fillId="5" borderId="2" applyAlignment="1" pivotButton="0" quotePrefix="0" xfId="0">
      <alignment horizontal="center" vertical="center"/>
    </xf>
    <xf numFmtId="0" fontId="6" fillId="0" borderId="3" pivotButton="0" quotePrefix="0" xfId="0"/>
    <xf numFmtId="0" fontId="6" fillId="0" borderId="4" pivotButton="0" quotePrefix="0" xfId="0"/>
    <xf numFmtId="0" fontId="7" fillId="0" borderId="0" pivotButton="0" quotePrefix="0" xfId="0"/>
    <xf numFmtId="0" fontId="8" fillId="0" borderId="0" pivotButton="0" quotePrefix="0" xfId="0"/>
    <xf numFmtId="2" fontId="3" fillId="0" borderId="0" pivotButton="0" quotePrefix="0" xfId="0"/>
    <xf numFmtId="0" fontId="3" fillId="6" borderId="1" pivotButton="0" quotePrefix="0" xfId="0"/>
    <xf numFmtId="2" fontId="3" fillId="6" borderId="1" pivotButton="0" quotePrefix="0" xfId="0"/>
    <xf numFmtId="0" fontId="9" fillId="7" borderId="1" pivotButton="0" quotePrefix="0" xfId="0"/>
    <xf numFmtId="0" fontId="9" fillId="8" borderId="1" pivotButton="0" quotePrefix="0" xfId="0"/>
    <xf numFmtId="165" fontId="3" fillId="0" borderId="0" pivotButton="0" quotePrefix="0" xfId="0"/>
    <xf numFmtId="164" fontId="3" fillId="0" borderId="0" pivotButton="0" quotePrefix="0" xfId="0"/>
    <xf numFmtId="167" fontId="3" fillId="0" borderId="0" pivotButton="0" quotePrefix="0" xfId="0"/>
    <xf numFmtId="0" fontId="10" fillId="0" borderId="0" pivotButton="0" quotePrefix="0" xfId="0"/>
    <xf numFmtId="164" fontId="3" fillId="9" borderId="1" pivotButton="0" quotePrefix="0" xfId="0"/>
    <xf numFmtId="0" fontId="3" fillId="9" borderId="1" pivotButton="0" quotePrefix="0" xfId="0"/>
    <xf numFmtId="0" fontId="11" fillId="10" borderId="1" pivotButton="0" quotePrefix="0" xfId="0"/>
    <xf numFmtId="0" fontId="12" fillId="0" borderId="0" pivotButton="0" quotePrefix="0" xfId="0"/>
    <xf numFmtId="0" fontId="8" fillId="10" borderId="1" pivotButton="0" quotePrefix="0" xfId="0"/>
    <xf numFmtId="0" fontId="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4" fillId="12" borderId="0" applyAlignment="1" pivotButton="0" quotePrefix="0" xfId="0">
      <alignment horizontal="center"/>
    </xf>
    <xf numFmtId="0" fontId="15" fillId="0" borderId="0" pivotButton="0" quotePrefix="0" xfId="0"/>
    <xf numFmtId="168" fontId="0" fillId="0" borderId="0" pivotButton="0" quotePrefix="0" xfId="0"/>
    <xf numFmtId="2" fontId="0" fillId="0" borderId="0" pivotButton="0" quotePrefix="0" xfId="0"/>
    <xf numFmtId="169" fontId="0" fillId="13" borderId="0" pivotButton="0" quotePrefix="0" xfId="0"/>
    <xf numFmtId="0" fontId="14" fillId="14" borderId="0" applyAlignment="1" pivotButton="0" quotePrefix="0" xfId="0">
      <alignment horizontal="center"/>
    </xf>
    <xf numFmtId="0" fontId="0" fillId="15" borderId="0" pivotButton="0" quotePrefix="0" xfId="0"/>
    <xf numFmtId="0" fontId="14" fillId="16" borderId="0" applyAlignment="1" pivotButton="0" quotePrefix="0" xfId="0">
      <alignment horizontal="center"/>
    </xf>
    <xf numFmtId="0" fontId="16" fillId="0" borderId="0" pivotButton="0" quotePrefix="0" xfId="0"/>
    <xf numFmtId="0" fontId="17" fillId="17" borderId="0" applyAlignment="1" pivotButton="0" quotePrefix="0" xfId="0">
      <alignment horizontal="center" wrapText="1"/>
    </xf>
    <xf numFmtId="170" fontId="0" fillId="18" borderId="0" pivotButton="0" quotePrefix="0" xfId="0"/>
    <xf numFmtId="168" fontId="0" fillId="18" borderId="0" pivotButton="0" quotePrefix="0" xfId="0"/>
    <xf numFmtId="1" fontId="0" fillId="18" borderId="0" pivotButton="0" quotePrefix="0" xfId="0"/>
    <xf numFmtId="169" fontId="0" fillId="18" borderId="0" pivotButton="0" quotePrefix="0" xfId="0"/>
    <xf numFmtId="0" fontId="0" fillId="18" borderId="0" pivotButton="0" quotePrefix="0" xfId="0"/>
    <xf numFmtId="170" fontId="0" fillId="0" borderId="0" pivotButton="0" quotePrefix="0" xfId="0"/>
    <xf numFmtId="1" fontId="0" fillId="0" borderId="0" pivotButton="0" quotePrefix="0" xfId="0"/>
    <xf numFmtId="169" fontId="0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18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28" min="1" max="1"/>
    <col width="15" customWidth="1" style="28" min="2" max="3"/>
    <col width="20" customWidth="1" style="28" min="4" max="4"/>
    <col width="12" customWidth="1" style="28" min="5" max="5"/>
    <col width="15" customWidth="1" style="28" min="6" max="8"/>
    <col width="30" customWidth="1" style="28" min="9" max="9"/>
    <col width="8.710000000000001" customWidth="1" style="28" min="10" max="28"/>
  </cols>
  <sheetData>
    <row r="1">
      <c r="A1" s="2" t="inlineStr">
        <is>
          <t>Date</t>
        </is>
      </c>
      <c r="B1" s="2" t="inlineStr">
        <is>
          <t>Gauge % Before</t>
        </is>
      </c>
      <c r="C1" s="2" t="inlineStr">
        <is>
          <t>Liters Added</t>
        </is>
      </c>
      <c r="D1" s="2" t="inlineStr">
        <is>
          <t>Liters Before Fill</t>
        </is>
      </c>
      <c r="E1" s="2" t="inlineStr">
        <is>
          <t>Price $/L</t>
        </is>
      </c>
      <c r="F1" s="2" t="inlineStr">
        <is>
          <t>Discount 2¢/L</t>
        </is>
      </c>
      <c r="G1" s="2" t="inlineStr">
        <is>
          <t>GST 5%</t>
        </is>
      </c>
      <c r="H1" s="2" t="inlineStr">
        <is>
          <t>Total Cost $</t>
        </is>
      </c>
      <c r="I1" s="2" t="inlineStr">
        <is>
          <t>Notes</t>
        </is>
      </c>
    </row>
    <row r="2">
      <c r="A2" s="3" t="inlineStr">
        <is>
          <t>2024-10-23</t>
        </is>
      </c>
      <c r="B2" s="3" t="n">
        <v>43.2</v>
      </c>
      <c r="C2" s="3" t="n">
        <v>572.3</v>
      </c>
      <c r="D2" s="3" t="n">
        <v>432</v>
      </c>
      <c r="E2" s="20" t="n">
        <v>1.303</v>
      </c>
      <c r="F2" s="5">
        <f>round(0.02*C2,2)</f>
        <v/>
      </c>
      <c r="G2" s="5">
        <f>round(((C2*E2)-F2)*0.05,2)</f>
        <v/>
      </c>
      <c r="H2" s="5">
        <f>(C2*E2)-F2+G2</f>
        <v/>
      </c>
      <c r="I2" s="3" t="inlineStr">
        <is>
          <t>First tracked fill</t>
        </is>
      </c>
    </row>
    <row r="3">
      <c r="A3" s="3" t="inlineStr">
        <is>
          <t>2025-02-25</t>
        </is>
      </c>
      <c r="B3" s="3" t="n">
        <v>39.5</v>
      </c>
      <c r="C3" s="3" t="n">
        <v>394.7</v>
      </c>
      <c r="D3" s="3" t="n">
        <v>395</v>
      </c>
      <c r="E3" s="20" t="n">
        <v>1.384</v>
      </c>
      <c r="F3" s="5">
        <f>round(0.02*C3,2)</f>
        <v/>
      </c>
      <c r="G3" s="5">
        <f>round(((C3*E3)-F3)*0.05,2)</f>
        <v/>
      </c>
      <c r="H3" s="5">
        <f>(C3*E3)-F3+G3</f>
        <v/>
      </c>
      <c r="I3" s="3" t="inlineStr">
        <is>
          <t>Winter fill</t>
        </is>
      </c>
    </row>
    <row r="4">
      <c r="A4" s="3" t="inlineStr">
        <is>
          <t>2025-09-24</t>
        </is>
      </c>
      <c r="B4" s="3" t="n">
        <v>14</v>
      </c>
      <c r="C4" s="3" t="n">
        <v>805</v>
      </c>
      <c r="D4" s="3" t="n">
        <v>140</v>
      </c>
      <c r="E4" s="20" t="n">
        <v>1.353</v>
      </c>
      <c r="F4" s="5">
        <f>round(0.02*C4,2)</f>
        <v/>
      </c>
      <c r="G4" s="5">
        <f>round(((C4*E4)-F4)*0.05,2)</f>
        <v/>
      </c>
      <c r="H4" s="5">
        <f>(C4*E4)-F4+G4</f>
        <v/>
      </c>
      <c r="I4" s="3" t="inlineStr">
        <is>
          <t>Late summer fill</t>
        </is>
      </c>
    </row>
    <row r="5">
      <c r="A5" s="3" t="inlineStr">
        <is>
          <t>2025-11-21</t>
        </is>
      </c>
      <c r="B5" s="3" t="n">
        <v>72</v>
      </c>
      <c r="C5" s="3" t="n">
        <v>424.9</v>
      </c>
      <c r="D5" s="3" t="n">
        <v>720</v>
      </c>
      <c r="E5" s="20" t="n">
        <v>1.461</v>
      </c>
      <c r="F5" s="5">
        <f>round(0.02*C5,2)</f>
        <v/>
      </c>
      <c r="G5" s="5">
        <f>round(((C5*E5)-F5)*0.05,2)</f>
        <v/>
      </c>
      <c r="H5" s="5">
        <f>(C5*E5)-F5+G5</f>
        <v/>
      </c>
      <c r="I5" s="3" t="inlineStr">
        <is>
          <t>Fall fill - recent</t>
        </is>
      </c>
    </row>
    <row r="6">
      <c r="E6" s="20" t="n"/>
    </row>
    <row r="21" ht="15.75" customHeight="1" s="28"/>
    <row r="22" ht="15.75" customHeight="1" s="28"/>
    <row r="23" ht="15.75" customHeight="1" s="28"/>
    <row r="24" ht="15.75" customHeight="1" s="28"/>
    <row r="25" ht="15.75" customHeight="1" s="28"/>
    <row r="26" ht="15.75" customHeight="1" s="28"/>
    <row r="27" ht="15.75" customHeight="1" s="28"/>
    <row r="28" ht="15.75" customHeight="1" s="28"/>
    <row r="29" ht="15.75" customHeight="1" s="28"/>
    <row r="30" ht="15.75" customHeight="1" s="28"/>
    <row r="31" ht="15.75" customHeight="1" s="28"/>
    <row r="32" ht="15.75" customHeight="1" s="28"/>
    <row r="33" ht="15.75" customHeight="1" s="28"/>
    <row r="34" ht="15.75" customHeight="1" s="28"/>
    <row r="35" ht="15.75" customHeight="1" s="28"/>
    <row r="36" ht="15.75" customHeight="1" s="28"/>
    <row r="37" ht="15.75" customHeight="1" s="28"/>
    <row r="38" ht="15.75" customHeight="1" s="28"/>
    <row r="39" ht="15.75" customHeight="1" s="28"/>
    <row r="40" ht="15.75" customHeight="1" s="28"/>
    <row r="41" ht="15.75" customHeight="1" s="28"/>
    <row r="42" ht="15.75" customHeight="1" s="28"/>
    <row r="43" ht="15.75" customHeight="1" s="28"/>
    <row r="44" ht="15.75" customHeight="1" s="28"/>
    <row r="45" ht="15.75" customHeight="1" s="28"/>
    <row r="46" ht="15.75" customHeight="1" s="28"/>
    <row r="47" ht="15.75" customHeight="1" s="28"/>
    <row r="48" ht="15.75" customHeight="1" s="28"/>
    <row r="49" ht="15.75" customHeight="1" s="28"/>
    <row r="50" ht="15.75" customHeight="1" s="28"/>
    <row r="51" ht="15.75" customHeight="1" s="28"/>
    <row r="52" ht="15.75" customHeight="1" s="28"/>
    <row r="53" ht="15.75" customHeight="1" s="28"/>
    <row r="54" ht="15.75" customHeight="1" s="28"/>
    <row r="55" ht="15.75" customHeight="1" s="28"/>
    <row r="56" ht="15.75" customHeight="1" s="28"/>
    <row r="57" ht="15.75" customHeight="1" s="28"/>
    <row r="58" ht="15.75" customHeight="1" s="28"/>
    <row r="59" ht="15.75" customHeight="1" s="28"/>
    <row r="60" ht="15.75" customHeight="1" s="28"/>
    <row r="61" ht="15.75" customHeight="1" s="28"/>
    <row r="62" ht="15.75" customHeight="1" s="28"/>
    <row r="63" ht="15.75" customHeight="1" s="28"/>
    <row r="64" ht="15.75" customHeight="1" s="28"/>
    <row r="65" ht="15.75" customHeight="1" s="28"/>
    <row r="66" ht="15.75" customHeight="1" s="28"/>
    <row r="67" ht="15.75" customHeight="1" s="28"/>
    <row r="68" ht="15.75" customHeight="1" s="28"/>
    <row r="69" ht="15.75" customHeight="1" s="28"/>
    <row r="70" ht="15.75" customHeight="1" s="28"/>
    <row r="71" ht="15.75" customHeight="1" s="28"/>
    <row r="72" ht="15.75" customHeight="1" s="28"/>
    <row r="73" ht="15.75" customHeight="1" s="28"/>
    <row r="74" ht="15.75" customHeight="1" s="28"/>
    <row r="75" ht="15.75" customHeight="1" s="28"/>
    <row r="76" ht="15.75" customHeight="1" s="28"/>
    <row r="77" ht="15.75" customHeight="1" s="28"/>
    <row r="78" ht="15.75" customHeight="1" s="28"/>
    <row r="79" ht="15.75" customHeight="1" s="28"/>
    <row r="80" ht="15.75" customHeight="1" s="28"/>
    <row r="81" ht="15.75" customHeight="1" s="28"/>
    <row r="82" ht="15.75" customHeight="1" s="28"/>
    <row r="83" ht="15.75" customHeight="1" s="28"/>
    <row r="84" ht="15.75" customHeight="1" s="28"/>
    <row r="85" ht="15.75" customHeight="1" s="28"/>
    <row r="86" ht="15.75" customHeight="1" s="28"/>
    <row r="87" ht="15.75" customHeight="1" s="28"/>
    <row r="88" ht="15.75" customHeight="1" s="28"/>
    <row r="89" ht="15.75" customHeight="1" s="28"/>
    <row r="90" ht="15.75" customHeight="1" s="28"/>
    <row r="91" ht="15.75" customHeight="1" s="28"/>
    <row r="92" ht="15.75" customHeight="1" s="28"/>
    <row r="93" ht="15.75" customHeight="1" s="28"/>
    <row r="94" ht="15.75" customHeight="1" s="28"/>
    <row r="95" ht="15.75" customHeight="1" s="28"/>
    <row r="96" ht="15.75" customHeight="1" s="28"/>
    <row r="97" ht="15.75" customHeight="1" s="28"/>
    <row r="98" ht="15.75" customHeight="1" s="28"/>
    <row r="99" ht="15.75" customHeight="1" s="28"/>
    <row r="100" ht="15.75" customHeight="1" s="28"/>
    <row r="101" ht="15.75" customHeight="1" s="28"/>
    <row r="102" ht="15.75" customHeight="1" s="28"/>
    <row r="103" ht="15.75" customHeight="1" s="28"/>
    <row r="104" ht="15.75" customHeight="1" s="28"/>
    <row r="105" ht="15.75" customHeight="1" s="28"/>
    <row r="106" ht="15.75" customHeight="1" s="28"/>
    <row r="107" ht="15.75" customHeight="1" s="28"/>
    <row r="108" ht="15.75" customHeight="1" s="28"/>
    <row r="109" ht="15.75" customHeight="1" s="28"/>
    <row r="110" ht="15.75" customHeight="1" s="28"/>
    <row r="111" ht="15.75" customHeight="1" s="28"/>
    <row r="112" ht="15.75" customHeight="1" s="28"/>
    <row r="113" ht="15.75" customHeight="1" s="28"/>
    <row r="114" ht="15.75" customHeight="1" s="28"/>
    <row r="115" ht="15.75" customHeight="1" s="28"/>
    <row r="116" ht="15.75" customHeight="1" s="28"/>
    <row r="117" ht="15.75" customHeight="1" s="28"/>
    <row r="118" ht="15.75" customHeight="1" s="28"/>
    <row r="119" ht="15.75" customHeight="1" s="28"/>
    <row r="120" ht="15.75" customHeight="1" s="28"/>
    <row r="121" ht="15.75" customHeight="1" s="28"/>
    <row r="122" ht="15.75" customHeight="1" s="28"/>
    <row r="123" ht="15.75" customHeight="1" s="28"/>
    <row r="124" ht="15.75" customHeight="1" s="28"/>
    <row r="125" ht="15.75" customHeight="1" s="28"/>
    <row r="126" ht="15.75" customHeight="1" s="28"/>
    <row r="127" ht="15.75" customHeight="1" s="28"/>
    <row r="128" ht="15.75" customHeight="1" s="28"/>
    <row r="129" ht="15.75" customHeight="1" s="28"/>
    <row r="130" ht="15.75" customHeight="1" s="28"/>
    <row r="131" ht="15.75" customHeight="1" s="28"/>
    <row r="132" ht="15.75" customHeight="1" s="28"/>
    <row r="133" ht="15.75" customHeight="1" s="28"/>
    <row r="134" ht="15.75" customHeight="1" s="28"/>
    <row r="135" ht="15.75" customHeight="1" s="28"/>
    <row r="136" ht="15.75" customHeight="1" s="28"/>
    <row r="137" ht="15.75" customHeight="1" s="28"/>
    <row r="138" ht="15.75" customHeight="1" s="28"/>
    <row r="139" ht="15.75" customHeight="1" s="28"/>
    <row r="140" ht="15.75" customHeight="1" s="28"/>
    <row r="141" ht="15.75" customHeight="1" s="28"/>
    <row r="142" ht="15.75" customHeight="1" s="28"/>
    <row r="143" ht="15.75" customHeight="1" s="28"/>
    <row r="144" ht="15.75" customHeight="1" s="28"/>
    <row r="145" ht="15.75" customHeight="1" s="28"/>
    <row r="146" ht="15.75" customHeight="1" s="28"/>
    <row r="147" ht="15.75" customHeight="1" s="28"/>
    <row r="148" ht="15.75" customHeight="1" s="28"/>
    <row r="149" ht="15.75" customHeight="1" s="28"/>
    <row r="150" ht="15.75" customHeight="1" s="28"/>
    <row r="151" ht="15.75" customHeight="1" s="28"/>
    <row r="152" ht="15.75" customHeight="1" s="28"/>
    <row r="153" ht="15.75" customHeight="1" s="28"/>
    <row r="154" ht="15.75" customHeight="1" s="28"/>
    <row r="155" ht="15.75" customHeight="1" s="28"/>
    <row r="156" ht="15.75" customHeight="1" s="28"/>
    <row r="157" ht="15.75" customHeight="1" s="28"/>
    <row r="158" ht="15.75" customHeight="1" s="28"/>
    <row r="159" ht="15.75" customHeight="1" s="28"/>
    <row r="160" ht="15.75" customHeight="1" s="28"/>
    <row r="161" ht="15.75" customHeight="1" s="28"/>
    <row r="162" ht="15.75" customHeight="1" s="28"/>
    <row r="163" ht="15.75" customHeight="1" s="28"/>
    <row r="164" ht="15.75" customHeight="1" s="28"/>
    <row r="165" ht="15.75" customHeight="1" s="28"/>
    <row r="166" ht="15.75" customHeight="1" s="28"/>
    <row r="167" ht="15.75" customHeight="1" s="28"/>
    <row r="168" ht="15.75" customHeight="1" s="28"/>
    <row r="169" ht="15.75" customHeight="1" s="28"/>
    <row r="170" ht="15.75" customHeight="1" s="28"/>
    <row r="171" ht="15.75" customHeight="1" s="28"/>
    <row r="172" ht="15.75" customHeight="1" s="28"/>
    <row r="173" ht="15.75" customHeight="1" s="28"/>
    <row r="174" ht="15.75" customHeight="1" s="28"/>
    <row r="175" ht="15.75" customHeight="1" s="28"/>
    <row r="176" ht="15.75" customHeight="1" s="28"/>
    <row r="177" ht="15.75" customHeight="1" s="28"/>
    <row r="178" ht="15.75" customHeight="1" s="28"/>
    <row r="179" ht="15.75" customHeight="1" s="28"/>
    <row r="180" ht="15.75" customHeight="1" s="28"/>
    <row r="181" ht="15.75" customHeight="1" s="28"/>
    <row r="182" ht="15.75" customHeight="1" s="28"/>
    <row r="183" ht="15.75" customHeight="1" s="28"/>
    <row r="184" ht="15.75" customHeight="1" s="28"/>
    <row r="185" ht="15.75" customHeight="1" s="28"/>
    <row r="186" ht="15.75" customHeight="1" s="28"/>
    <row r="187" ht="15.75" customHeight="1" s="28"/>
    <row r="188" ht="15.75" customHeight="1" s="28"/>
    <row r="189" ht="15.75" customHeight="1" s="28"/>
    <row r="190" ht="15.75" customHeight="1" s="28"/>
    <row r="191" ht="15.75" customHeight="1" s="28"/>
    <row r="192" ht="15.75" customHeight="1" s="28"/>
    <row r="193" ht="15.75" customHeight="1" s="28"/>
    <row r="194" ht="15.75" customHeight="1" s="28"/>
    <row r="195" ht="15.75" customHeight="1" s="28"/>
    <row r="196" ht="15.75" customHeight="1" s="28"/>
    <row r="197" ht="15.75" customHeight="1" s="28"/>
    <row r="198" ht="15.75" customHeight="1" s="28"/>
    <row r="199" ht="15.75" customHeight="1" s="28"/>
    <row r="200" ht="15.75" customHeight="1" s="28"/>
    <row r="201" ht="15.75" customHeight="1" s="28"/>
    <row r="202" ht="15.75" customHeight="1" s="28"/>
    <row r="203" ht="15.75" customHeight="1" s="28"/>
    <row r="204" ht="15.75" customHeight="1" s="28"/>
    <row r="205" ht="15.75" customHeight="1" s="28"/>
    <row r="206" ht="15.75" customHeight="1" s="28"/>
    <row r="207" ht="15.75" customHeight="1" s="28"/>
    <row r="208" ht="15.75" customHeight="1" s="28"/>
    <row r="209" ht="15.75" customHeight="1" s="28"/>
    <row r="210" ht="15.75" customHeight="1" s="28"/>
    <row r="211" ht="15.75" customHeight="1" s="28"/>
    <row r="212" ht="15.75" customHeight="1" s="28"/>
    <row r="213" ht="15.75" customHeight="1" s="28"/>
    <row r="214" ht="15.75" customHeight="1" s="28"/>
    <row r="215" ht="15.75" customHeight="1" s="28"/>
    <row r="216" ht="15.75" customHeight="1" s="28"/>
    <row r="217" ht="15.75" customHeight="1" s="28"/>
    <row r="218" ht="15.75" customHeight="1" s="28"/>
    <row r="219" ht="15.75" customHeight="1" s="28"/>
    <row r="220" ht="15.75" customHeight="1" s="28"/>
    <row r="221" ht="15.75" customHeight="1" s="28"/>
    <row r="222" ht="15.75" customHeight="1" s="28"/>
    <row r="223" ht="15.75" customHeight="1" s="28"/>
    <row r="224" ht="15.75" customHeight="1" s="28"/>
    <row r="225" ht="15.75" customHeight="1" s="28"/>
    <row r="226" ht="15.75" customHeight="1" s="28"/>
    <row r="227" ht="15.75" customHeight="1" s="28"/>
    <row r="228" ht="15.75" customHeight="1" s="28"/>
    <row r="229" ht="15.75" customHeight="1" s="28"/>
    <row r="230" ht="15.75" customHeight="1" s="28"/>
    <row r="231" ht="15.75" customHeight="1" s="28"/>
    <row r="232" ht="15.75" customHeight="1" s="28"/>
    <row r="233" ht="15.75" customHeight="1" s="28"/>
    <row r="234" ht="15.75" customHeight="1" s="28"/>
    <row r="235" ht="15.75" customHeight="1" s="28"/>
    <row r="236" ht="15.75" customHeight="1" s="28"/>
    <row r="237" ht="15.75" customHeight="1" s="28"/>
    <row r="238" ht="15.75" customHeight="1" s="28"/>
    <row r="239" ht="15.75" customHeight="1" s="28"/>
    <row r="240" ht="15.75" customHeight="1" s="28"/>
    <row r="241" ht="15.75" customHeight="1" s="28"/>
    <row r="242" ht="15.75" customHeight="1" s="28"/>
    <row r="243" ht="15.75" customHeight="1" s="28"/>
    <row r="244" ht="15.75" customHeight="1" s="28"/>
    <row r="245" ht="15.75" customHeight="1" s="28"/>
    <row r="246" ht="15.75" customHeight="1" s="28"/>
    <row r="247" ht="15.75" customHeight="1" s="28"/>
    <row r="248" ht="15.75" customHeight="1" s="28"/>
    <row r="249" ht="15.75" customHeight="1" s="28"/>
    <row r="250" ht="15.75" customHeight="1" s="28"/>
    <row r="251" ht="15.75" customHeight="1" s="28"/>
    <row r="252" ht="15.75" customHeight="1" s="28"/>
    <row r="253" ht="15.75" customHeight="1" s="28"/>
    <row r="254" ht="15.75" customHeight="1" s="28"/>
    <row r="255" ht="15.75" customHeight="1" s="28"/>
    <row r="256" ht="15.75" customHeight="1" s="28"/>
    <row r="257" ht="15.75" customHeight="1" s="28"/>
    <row r="258" ht="15.75" customHeight="1" s="28"/>
    <row r="259" ht="15.75" customHeight="1" s="28"/>
    <row r="260" ht="15.75" customHeight="1" s="28"/>
    <row r="261" ht="15.75" customHeight="1" s="28"/>
    <row r="262" ht="15.75" customHeight="1" s="28"/>
    <row r="263" ht="15.75" customHeight="1" s="28"/>
    <row r="264" ht="15.75" customHeight="1" s="28"/>
    <row r="265" ht="15.75" customHeight="1" s="28"/>
    <row r="266" ht="15.75" customHeight="1" s="28"/>
    <row r="267" ht="15.75" customHeight="1" s="28"/>
    <row r="268" ht="15.75" customHeight="1" s="28"/>
    <row r="269" ht="15.75" customHeight="1" s="28"/>
    <row r="270" ht="15.75" customHeight="1" s="28"/>
    <row r="271" ht="15.75" customHeight="1" s="28"/>
    <row r="272" ht="15.75" customHeight="1" s="28"/>
    <row r="273" ht="15.75" customHeight="1" s="28"/>
    <row r="274" ht="15.75" customHeight="1" s="28"/>
    <row r="275" ht="15.75" customHeight="1" s="28"/>
    <row r="276" ht="15.75" customHeight="1" s="28"/>
    <row r="277" ht="15.75" customHeight="1" s="28"/>
    <row r="278" ht="15.75" customHeight="1" s="28"/>
    <row r="279" ht="15.75" customHeight="1" s="28"/>
    <row r="280" ht="15.75" customHeight="1" s="28"/>
    <row r="281" ht="15.75" customHeight="1" s="28"/>
    <row r="282" ht="15.75" customHeight="1" s="28"/>
    <row r="283" ht="15.75" customHeight="1" s="28"/>
    <row r="284" ht="15.75" customHeight="1" s="28"/>
    <row r="285" ht="15.75" customHeight="1" s="28"/>
    <row r="286" ht="15.75" customHeight="1" s="28"/>
    <row r="287" ht="15.75" customHeight="1" s="28"/>
    <row r="288" ht="15.75" customHeight="1" s="28"/>
    <row r="289" ht="15.75" customHeight="1" s="28"/>
    <row r="290" ht="15.75" customHeight="1" s="28"/>
    <row r="291" ht="15.75" customHeight="1" s="28"/>
    <row r="292" ht="15.75" customHeight="1" s="28"/>
    <row r="293" ht="15.75" customHeight="1" s="28"/>
    <row r="294" ht="15.75" customHeight="1" s="28"/>
    <row r="295" ht="15.75" customHeight="1" s="28"/>
    <row r="296" ht="15.75" customHeight="1" s="28"/>
    <row r="297" ht="15.75" customHeight="1" s="28"/>
    <row r="298" ht="15.75" customHeight="1" s="28"/>
    <row r="299" ht="15.75" customHeight="1" s="28"/>
    <row r="300" ht="15.75" customHeight="1" s="28"/>
    <row r="301" ht="15.75" customHeight="1" s="28"/>
    <row r="302" ht="15.75" customHeight="1" s="28"/>
    <row r="303" ht="15.75" customHeight="1" s="28"/>
    <row r="304" ht="15.75" customHeight="1" s="28"/>
    <row r="305" ht="15.75" customHeight="1" s="28"/>
    <row r="306" ht="15.75" customHeight="1" s="28"/>
    <row r="307" ht="15.75" customHeight="1" s="28"/>
    <row r="308" ht="15.75" customHeight="1" s="28"/>
    <row r="309" ht="15.75" customHeight="1" s="28"/>
    <row r="310" ht="15.75" customHeight="1" s="28"/>
    <row r="311" ht="15.75" customHeight="1" s="28"/>
    <row r="312" ht="15.75" customHeight="1" s="28"/>
    <row r="313" ht="15.75" customHeight="1" s="28"/>
    <row r="314" ht="15.75" customHeight="1" s="28"/>
    <row r="315" ht="15.75" customHeight="1" s="28"/>
    <row r="316" ht="15.75" customHeight="1" s="28"/>
    <row r="317" ht="15.75" customHeight="1" s="28"/>
    <row r="318" ht="15.75" customHeight="1" s="28"/>
    <row r="319" ht="15.75" customHeight="1" s="28"/>
    <row r="320" ht="15.75" customHeight="1" s="28"/>
    <row r="321" ht="15.75" customHeight="1" s="28"/>
    <row r="322" ht="15.75" customHeight="1" s="28"/>
    <row r="323" ht="15.75" customHeight="1" s="28"/>
    <row r="324" ht="15.75" customHeight="1" s="28"/>
    <row r="325" ht="15.75" customHeight="1" s="28"/>
    <row r="326" ht="15.75" customHeight="1" s="28"/>
    <row r="327" ht="15.75" customHeight="1" s="28"/>
    <row r="328" ht="15.75" customHeight="1" s="28"/>
    <row r="329" ht="15.75" customHeight="1" s="28"/>
    <row r="330" ht="15.75" customHeight="1" s="28"/>
    <row r="331" ht="15.75" customHeight="1" s="28"/>
    <row r="332" ht="15.75" customHeight="1" s="28"/>
    <row r="333" ht="15.75" customHeight="1" s="28"/>
    <row r="334" ht="15.75" customHeight="1" s="28"/>
    <row r="335" ht="15.75" customHeight="1" s="28"/>
    <row r="336" ht="15.75" customHeight="1" s="28"/>
    <row r="337" ht="15.75" customHeight="1" s="28"/>
    <row r="338" ht="15.75" customHeight="1" s="28"/>
    <row r="339" ht="15.75" customHeight="1" s="28"/>
    <row r="340" ht="15.75" customHeight="1" s="28"/>
    <row r="341" ht="15.75" customHeight="1" s="28"/>
    <row r="342" ht="15.75" customHeight="1" s="28"/>
    <row r="343" ht="15.75" customHeight="1" s="28"/>
    <row r="344" ht="15.75" customHeight="1" s="28"/>
    <row r="345" ht="15.75" customHeight="1" s="28"/>
    <row r="346" ht="15.75" customHeight="1" s="28"/>
    <row r="347" ht="15.75" customHeight="1" s="28"/>
    <row r="348" ht="15.75" customHeight="1" s="28"/>
    <row r="349" ht="15.75" customHeight="1" s="28"/>
    <row r="350" ht="15.75" customHeight="1" s="28"/>
    <row r="351" ht="15.75" customHeight="1" s="28"/>
    <row r="352" ht="15.75" customHeight="1" s="28"/>
    <row r="353" ht="15.75" customHeight="1" s="28"/>
    <row r="354" ht="15.75" customHeight="1" s="28"/>
    <row r="355" ht="15.75" customHeight="1" s="28"/>
    <row r="356" ht="15.75" customHeight="1" s="28"/>
    <row r="357" ht="15.75" customHeight="1" s="28"/>
    <row r="358" ht="15.75" customHeight="1" s="28"/>
    <row r="359" ht="15.75" customHeight="1" s="28"/>
    <row r="360" ht="15.75" customHeight="1" s="28"/>
    <row r="361" ht="15.75" customHeight="1" s="28"/>
    <row r="362" ht="15.75" customHeight="1" s="28"/>
    <row r="363" ht="15.75" customHeight="1" s="28"/>
    <row r="364" ht="15.75" customHeight="1" s="28"/>
    <row r="365" ht="15.75" customHeight="1" s="28"/>
    <row r="366" ht="15.75" customHeight="1" s="28"/>
    <row r="367" ht="15.75" customHeight="1" s="28"/>
    <row r="368" ht="15.75" customHeight="1" s="28"/>
    <row r="369" ht="15.75" customHeight="1" s="28"/>
    <row r="370" ht="15.75" customHeight="1" s="28"/>
    <row r="371" ht="15.75" customHeight="1" s="28"/>
    <row r="372" ht="15.75" customHeight="1" s="28"/>
    <row r="373" ht="15.75" customHeight="1" s="28"/>
    <row r="374" ht="15.75" customHeight="1" s="28"/>
    <row r="375" ht="15.75" customHeight="1" s="28"/>
    <row r="376" ht="15.75" customHeight="1" s="28"/>
    <row r="377" ht="15.75" customHeight="1" s="28"/>
    <row r="378" ht="15.75" customHeight="1" s="28"/>
    <row r="379" ht="15.75" customHeight="1" s="28"/>
    <row r="380" ht="15.75" customHeight="1" s="28"/>
    <row r="381" ht="15.75" customHeight="1" s="28"/>
    <row r="382" ht="15.75" customHeight="1" s="28"/>
    <row r="383" ht="15.75" customHeight="1" s="28"/>
    <row r="384" ht="15.75" customHeight="1" s="28"/>
    <row r="385" ht="15.75" customHeight="1" s="28"/>
    <row r="386" ht="15.75" customHeight="1" s="28"/>
    <row r="387" ht="15.75" customHeight="1" s="28"/>
    <row r="388" ht="15.75" customHeight="1" s="28"/>
    <row r="389" ht="15.75" customHeight="1" s="28"/>
    <row r="390" ht="15.75" customHeight="1" s="28"/>
    <row r="391" ht="15.75" customHeight="1" s="28"/>
    <row r="392" ht="15.75" customHeight="1" s="28"/>
    <row r="393" ht="15.75" customHeight="1" s="28"/>
    <row r="394" ht="15.75" customHeight="1" s="28"/>
    <row r="395" ht="15.75" customHeight="1" s="28"/>
    <row r="396" ht="15.75" customHeight="1" s="28"/>
    <row r="397" ht="15.75" customHeight="1" s="28"/>
    <row r="398" ht="15.75" customHeight="1" s="28"/>
    <row r="399" ht="15.75" customHeight="1" s="28"/>
    <row r="400" ht="15.75" customHeight="1" s="28"/>
    <row r="401" ht="15.75" customHeight="1" s="28"/>
    <row r="402" ht="15.75" customHeight="1" s="28"/>
    <row r="403" ht="15.75" customHeight="1" s="28"/>
    <row r="404" ht="15.75" customHeight="1" s="28"/>
    <row r="405" ht="15.75" customHeight="1" s="28"/>
    <row r="406" ht="15.75" customHeight="1" s="28"/>
    <row r="407" ht="15.75" customHeight="1" s="28"/>
    <row r="408" ht="15.75" customHeight="1" s="28"/>
    <row r="409" ht="15.75" customHeight="1" s="28"/>
    <row r="410" ht="15.75" customHeight="1" s="28"/>
    <row r="411" ht="15.75" customHeight="1" s="28"/>
    <row r="412" ht="15.75" customHeight="1" s="28"/>
    <row r="413" ht="15.75" customHeight="1" s="28"/>
    <row r="414" ht="15.75" customHeight="1" s="28"/>
    <row r="415" ht="15.75" customHeight="1" s="28"/>
    <row r="416" ht="15.75" customHeight="1" s="28"/>
    <row r="417" ht="15.75" customHeight="1" s="28"/>
    <row r="418" ht="15.75" customHeight="1" s="28"/>
    <row r="419" ht="15.75" customHeight="1" s="28"/>
    <row r="420" ht="15.75" customHeight="1" s="28"/>
    <row r="421" ht="15.75" customHeight="1" s="28"/>
    <row r="422" ht="15.75" customHeight="1" s="28"/>
    <row r="423" ht="15.75" customHeight="1" s="28"/>
    <row r="424" ht="15.75" customHeight="1" s="28"/>
    <row r="425" ht="15.75" customHeight="1" s="28"/>
    <row r="426" ht="15.75" customHeight="1" s="28"/>
    <row r="427" ht="15.75" customHeight="1" s="28"/>
    <row r="428" ht="15.75" customHeight="1" s="28"/>
    <row r="429" ht="15.75" customHeight="1" s="28"/>
    <row r="430" ht="15.75" customHeight="1" s="28"/>
    <row r="431" ht="15.75" customHeight="1" s="28"/>
    <row r="432" ht="15.75" customHeight="1" s="28"/>
    <row r="433" ht="15.75" customHeight="1" s="28"/>
    <row r="434" ht="15.75" customHeight="1" s="28"/>
    <row r="435" ht="15.75" customHeight="1" s="28"/>
    <row r="436" ht="15.75" customHeight="1" s="28"/>
    <row r="437" ht="15.75" customHeight="1" s="28"/>
    <row r="438" ht="15.75" customHeight="1" s="28"/>
    <row r="439" ht="15.75" customHeight="1" s="28"/>
    <row r="440" ht="15.75" customHeight="1" s="28"/>
    <row r="441" ht="15.75" customHeight="1" s="28"/>
    <row r="442" ht="15.75" customHeight="1" s="28"/>
    <row r="443" ht="15.75" customHeight="1" s="28"/>
    <row r="444" ht="15.75" customHeight="1" s="28"/>
    <row r="445" ht="15.75" customHeight="1" s="28"/>
    <row r="446" ht="15.75" customHeight="1" s="28"/>
    <row r="447" ht="15.75" customHeight="1" s="28"/>
    <row r="448" ht="15.75" customHeight="1" s="28"/>
    <row r="449" ht="15.75" customHeight="1" s="28"/>
    <row r="450" ht="15.75" customHeight="1" s="28"/>
    <row r="451" ht="15.75" customHeight="1" s="28"/>
    <row r="452" ht="15.75" customHeight="1" s="28"/>
    <row r="453" ht="15.75" customHeight="1" s="28"/>
    <row r="454" ht="15.75" customHeight="1" s="28"/>
    <row r="455" ht="15.75" customHeight="1" s="28"/>
    <row r="456" ht="15.75" customHeight="1" s="28"/>
    <row r="457" ht="15.75" customHeight="1" s="28"/>
    <row r="458" ht="15.75" customHeight="1" s="28"/>
    <row r="459" ht="15.75" customHeight="1" s="28"/>
    <row r="460" ht="15.75" customHeight="1" s="28"/>
    <row r="461" ht="15.75" customHeight="1" s="28"/>
    <row r="462" ht="15.75" customHeight="1" s="28"/>
    <row r="463" ht="15.75" customHeight="1" s="28"/>
    <row r="464" ht="15.75" customHeight="1" s="28"/>
    <row r="465" ht="15.75" customHeight="1" s="28"/>
    <row r="466" ht="15.75" customHeight="1" s="28"/>
    <row r="467" ht="15.75" customHeight="1" s="28"/>
    <row r="468" ht="15.75" customHeight="1" s="28"/>
    <row r="469" ht="15.75" customHeight="1" s="28"/>
    <row r="470" ht="15.75" customHeight="1" s="28"/>
    <row r="471" ht="15.75" customHeight="1" s="28"/>
    <row r="472" ht="15.75" customHeight="1" s="28"/>
    <row r="473" ht="15.75" customHeight="1" s="28"/>
    <row r="474" ht="15.75" customHeight="1" s="28"/>
    <row r="475" ht="15.75" customHeight="1" s="28"/>
    <row r="476" ht="15.75" customHeight="1" s="28"/>
    <row r="477" ht="15.75" customHeight="1" s="28"/>
    <row r="478" ht="15.75" customHeight="1" s="28"/>
    <row r="479" ht="15.75" customHeight="1" s="28"/>
    <row r="480" ht="15.75" customHeight="1" s="28"/>
    <row r="481" ht="15.75" customHeight="1" s="28"/>
    <row r="482" ht="15.75" customHeight="1" s="28"/>
    <row r="483" ht="15.75" customHeight="1" s="28"/>
    <row r="484" ht="15.75" customHeight="1" s="28"/>
    <row r="485" ht="15.75" customHeight="1" s="28"/>
    <row r="486" ht="15.75" customHeight="1" s="28"/>
    <row r="487" ht="15.75" customHeight="1" s="28"/>
    <row r="488" ht="15.75" customHeight="1" s="28"/>
    <row r="489" ht="15.75" customHeight="1" s="28"/>
    <row r="490" ht="15.75" customHeight="1" s="28"/>
    <row r="491" ht="15.75" customHeight="1" s="28"/>
    <row r="492" ht="15.75" customHeight="1" s="28"/>
    <row r="493" ht="15.75" customHeight="1" s="28"/>
    <row r="494" ht="15.75" customHeight="1" s="28"/>
    <row r="495" ht="15.75" customHeight="1" s="28"/>
    <row r="496" ht="15.75" customHeight="1" s="28"/>
    <row r="497" ht="15.75" customHeight="1" s="28"/>
    <row r="498" ht="15.75" customHeight="1" s="28"/>
    <row r="499" ht="15.75" customHeight="1" s="28"/>
    <row r="500" ht="15.75" customHeight="1" s="28"/>
    <row r="501" ht="15.75" customHeight="1" s="28"/>
    <row r="502" ht="15.75" customHeight="1" s="28"/>
    <row r="503" ht="15.75" customHeight="1" s="28"/>
    <row r="504" ht="15.75" customHeight="1" s="28"/>
    <row r="505" ht="15.75" customHeight="1" s="28"/>
    <row r="506" ht="15.75" customHeight="1" s="28"/>
    <row r="507" ht="15.75" customHeight="1" s="28"/>
    <row r="508" ht="15.75" customHeight="1" s="28"/>
    <row r="509" ht="15.75" customHeight="1" s="28"/>
    <row r="510" ht="15.75" customHeight="1" s="28"/>
    <row r="511" ht="15.75" customHeight="1" s="28"/>
    <row r="512" ht="15.75" customHeight="1" s="28"/>
    <row r="513" ht="15.75" customHeight="1" s="28"/>
    <row r="514" ht="15.75" customHeight="1" s="28"/>
    <row r="515" ht="15.75" customHeight="1" s="28"/>
    <row r="516" ht="15.75" customHeight="1" s="28"/>
    <row r="517" ht="15.75" customHeight="1" s="28"/>
    <row r="518" ht="15.75" customHeight="1" s="28"/>
    <row r="519" ht="15.75" customHeight="1" s="28"/>
    <row r="520" ht="15.75" customHeight="1" s="28"/>
    <row r="521" ht="15.75" customHeight="1" s="28"/>
    <row r="522" ht="15.75" customHeight="1" s="28"/>
    <row r="523" ht="15.75" customHeight="1" s="28"/>
    <row r="524" ht="15.75" customHeight="1" s="28"/>
    <row r="525" ht="15.75" customHeight="1" s="28"/>
    <row r="526" ht="15.75" customHeight="1" s="28"/>
    <row r="527" ht="15.75" customHeight="1" s="28"/>
    <row r="528" ht="15.75" customHeight="1" s="28"/>
    <row r="529" ht="15.75" customHeight="1" s="28"/>
    <row r="530" ht="15.75" customHeight="1" s="28"/>
    <row r="531" ht="15.75" customHeight="1" s="28"/>
    <row r="532" ht="15.75" customHeight="1" s="28"/>
    <row r="533" ht="15.75" customHeight="1" s="28"/>
    <row r="534" ht="15.75" customHeight="1" s="28"/>
    <row r="535" ht="15.75" customHeight="1" s="28"/>
    <row r="536" ht="15.75" customHeight="1" s="28"/>
    <row r="537" ht="15.75" customHeight="1" s="28"/>
    <row r="538" ht="15.75" customHeight="1" s="28"/>
    <row r="539" ht="15.75" customHeight="1" s="28"/>
    <row r="540" ht="15.75" customHeight="1" s="28"/>
    <row r="541" ht="15.75" customHeight="1" s="28"/>
    <row r="542" ht="15.75" customHeight="1" s="28"/>
    <row r="543" ht="15.75" customHeight="1" s="28"/>
    <row r="544" ht="15.75" customHeight="1" s="28"/>
    <row r="545" ht="15.75" customHeight="1" s="28"/>
    <row r="546" ht="15.75" customHeight="1" s="28"/>
    <row r="547" ht="15.75" customHeight="1" s="28"/>
    <row r="548" ht="15.75" customHeight="1" s="28"/>
    <row r="549" ht="15.75" customHeight="1" s="28"/>
    <row r="550" ht="15.75" customHeight="1" s="28"/>
    <row r="551" ht="15.75" customHeight="1" s="28"/>
    <row r="552" ht="15.75" customHeight="1" s="28"/>
    <row r="553" ht="15.75" customHeight="1" s="28"/>
    <row r="554" ht="15.75" customHeight="1" s="28"/>
    <row r="555" ht="15.75" customHeight="1" s="28"/>
    <row r="556" ht="15.75" customHeight="1" s="28"/>
    <row r="557" ht="15.75" customHeight="1" s="28"/>
    <row r="558" ht="15.75" customHeight="1" s="28"/>
    <row r="559" ht="15.75" customHeight="1" s="28"/>
    <row r="560" ht="15.75" customHeight="1" s="28"/>
    <row r="561" ht="15.75" customHeight="1" s="28"/>
    <row r="562" ht="15.75" customHeight="1" s="28"/>
    <row r="563" ht="15.75" customHeight="1" s="28"/>
    <row r="564" ht="15.75" customHeight="1" s="28"/>
    <row r="565" ht="15.75" customHeight="1" s="28"/>
    <row r="566" ht="15.75" customHeight="1" s="28"/>
    <row r="567" ht="15.75" customHeight="1" s="28"/>
    <row r="568" ht="15.75" customHeight="1" s="28"/>
    <row r="569" ht="15.75" customHeight="1" s="28"/>
    <row r="570" ht="15.75" customHeight="1" s="28"/>
    <row r="571" ht="15.75" customHeight="1" s="28"/>
    <row r="572" ht="15.75" customHeight="1" s="28"/>
    <row r="573" ht="15.75" customHeight="1" s="28"/>
    <row r="574" ht="15.75" customHeight="1" s="28"/>
    <row r="575" ht="15.75" customHeight="1" s="28"/>
    <row r="576" ht="15.75" customHeight="1" s="28"/>
    <row r="577" ht="15.75" customHeight="1" s="28"/>
    <row r="578" ht="15.75" customHeight="1" s="28"/>
    <row r="579" ht="15.75" customHeight="1" s="28"/>
    <row r="580" ht="15.75" customHeight="1" s="28"/>
    <row r="581" ht="15.75" customHeight="1" s="28"/>
    <row r="582" ht="15.75" customHeight="1" s="28"/>
    <row r="583" ht="15.75" customHeight="1" s="28"/>
    <row r="584" ht="15.75" customHeight="1" s="28"/>
    <row r="585" ht="15.75" customHeight="1" s="28"/>
    <row r="586" ht="15.75" customHeight="1" s="28"/>
    <row r="587" ht="15.75" customHeight="1" s="28"/>
    <row r="588" ht="15.75" customHeight="1" s="28"/>
    <row r="589" ht="15.75" customHeight="1" s="28"/>
    <row r="590" ht="15.75" customHeight="1" s="28"/>
    <row r="591" ht="15.75" customHeight="1" s="28"/>
    <row r="592" ht="15.75" customHeight="1" s="28"/>
    <row r="593" ht="15.75" customHeight="1" s="28"/>
    <row r="594" ht="15.75" customHeight="1" s="28"/>
    <row r="595" ht="15.75" customHeight="1" s="28"/>
    <row r="596" ht="15.75" customHeight="1" s="28"/>
    <row r="597" ht="15.75" customHeight="1" s="28"/>
    <row r="598" ht="15.75" customHeight="1" s="28"/>
    <row r="599" ht="15.75" customHeight="1" s="28"/>
    <row r="600" ht="15.75" customHeight="1" s="28"/>
    <row r="601" ht="15.75" customHeight="1" s="28"/>
    <row r="602" ht="15.75" customHeight="1" s="28"/>
    <row r="603" ht="15.75" customHeight="1" s="28"/>
    <row r="604" ht="15.75" customHeight="1" s="28"/>
    <row r="605" ht="15.75" customHeight="1" s="28"/>
    <row r="606" ht="15.75" customHeight="1" s="28"/>
    <row r="607" ht="15.75" customHeight="1" s="28"/>
    <row r="608" ht="15.75" customHeight="1" s="28"/>
    <row r="609" ht="15.75" customHeight="1" s="28"/>
    <row r="610" ht="15.75" customHeight="1" s="28"/>
    <row r="611" ht="15.75" customHeight="1" s="28"/>
    <row r="612" ht="15.75" customHeight="1" s="28"/>
    <row r="613" ht="15.75" customHeight="1" s="28"/>
    <row r="614" ht="15.75" customHeight="1" s="28"/>
    <row r="615" ht="15.75" customHeight="1" s="28"/>
    <row r="616" ht="15.75" customHeight="1" s="28"/>
    <row r="617" ht="15.75" customHeight="1" s="28"/>
    <row r="618" ht="15.75" customHeight="1" s="28"/>
    <row r="619" ht="15.75" customHeight="1" s="28"/>
    <row r="620" ht="15.75" customHeight="1" s="28"/>
    <row r="621" ht="15.75" customHeight="1" s="28"/>
    <row r="622" ht="15.75" customHeight="1" s="28"/>
    <row r="623" ht="15.75" customHeight="1" s="28"/>
    <row r="624" ht="15.75" customHeight="1" s="28"/>
    <row r="625" ht="15.75" customHeight="1" s="28"/>
    <row r="626" ht="15.75" customHeight="1" s="28"/>
    <row r="627" ht="15.75" customHeight="1" s="28"/>
    <row r="628" ht="15.75" customHeight="1" s="28"/>
    <row r="629" ht="15.75" customHeight="1" s="28"/>
    <row r="630" ht="15.75" customHeight="1" s="28"/>
    <row r="631" ht="15.75" customHeight="1" s="28"/>
    <row r="632" ht="15.75" customHeight="1" s="28"/>
    <row r="633" ht="15.75" customHeight="1" s="28"/>
    <row r="634" ht="15.75" customHeight="1" s="28"/>
    <row r="635" ht="15.75" customHeight="1" s="28"/>
    <row r="636" ht="15.75" customHeight="1" s="28"/>
    <row r="637" ht="15.75" customHeight="1" s="28"/>
    <row r="638" ht="15.75" customHeight="1" s="28"/>
    <row r="639" ht="15.75" customHeight="1" s="28"/>
    <row r="640" ht="15.75" customHeight="1" s="28"/>
    <row r="641" ht="15.75" customHeight="1" s="28"/>
    <row r="642" ht="15.75" customHeight="1" s="28"/>
    <row r="643" ht="15.75" customHeight="1" s="28"/>
    <row r="644" ht="15.75" customHeight="1" s="28"/>
    <row r="645" ht="15.75" customHeight="1" s="28"/>
    <row r="646" ht="15.75" customHeight="1" s="28"/>
    <row r="647" ht="15.75" customHeight="1" s="28"/>
    <row r="648" ht="15.75" customHeight="1" s="28"/>
    <row r="649" ht="15.75" customHeight="1" s="28"/>
    <row r="650" ht="15.75" customHeight="1" s="28"/>
    <row r="651" ht="15.75" customHeight="1" s="28"/>
    <row r="652" ht="15.75" customHeight="1" s="28"/>
    <row r="653" ht="15.75" customHeight="1" s="28"/>
    <row r="654" ht="15.75" customHeight="1" s="28"/>
    <row r="655" ht="15.75" customHeight="1" s="28"/>
    <row r="656" ht="15.75" customHeight="1" s="28"/>
    <row r="657" ht="15.75" customHeight="1" s="28"/>
    <row r="658" ht="15.75" customHeight="1" s="28"/>
    <row r="659" ht="15.75" customHeight="1" s="28"/>
    <row r="660" ht="15.75" customHeight="1" s="28"/>
    <row r="661" ht="15.75" customHeight="1" s="28"/>
    <row r="662" ht="15.75" customHeight="1" s="28"/>
    <row r="663" ht="15.75" customHeight="1" s="28"/>
    <row r="664" ht="15.75" customHeight="1" s="28"/>
    <row r="665" ht="15.75" customHeight="1" s="28"/>
    <row r="666" ht="15.75" customHeight="1" s="28"/>
    <row r="667" ht="15.75" customHeight="1" s="28"/>
    <row r="668" ht="15.75" customHeight="1" s="28"/>
    <row r="669" ht="15.75" customHeight="1" s="28"/>
    <row r="670" ht="15.75" customHeight="1" s="28"/>
    <row r="671" ht="15.75" customHeight="1" s="28"/>
    <row r="672" ht="15.75" customHeight="1" s="28"/>
    <row r="673" ht="15.75" customHeight="1" s="28"/>
    <row r="674" ht="15.75" customHeight="1" s="28"/>
    <row r="675" ht="15.75" customHeight="1" s="28"/>
    <row r="676" ht="15.75" customHeight="1" s="28"/>
    <row r="677" ht="15.75" customHeight="1" s="28"/>
    <row r="678" ht="15.75" customHeight="1" s="28"/>
    <row r="679" ht="15.75" customHeight="1" s="28"/>
    <row r="680" ht="15.75" customHeight="1" s="28"/>
    <row r="681" ht="15.75" customHeight="1" s="28"/>
    <row r="682" ht="15.75" customHeight="1" s="28"/>
    <row r="683" ht="15.75" customHeight="1" s="28"/>
    <row r="684" ht="15.75" customHeight="1" s="28"/>
    <row r="685" ht="15.75" customHeight="1" s="28"/>
    <row r="686" ht="15.75" customHeight="1" s="28"/>
    <row r="687" ht="15.75" customHeight="1" s="28"/>
    <row r="688" ht="15.75" customHeight="1" s="28"/>
    <row r="689" ht="15.75" customHeight="1" s="28"/>
    <row r="690" ht="15.75" customHeight="1" s="28"/>
    <row r="691" ht="15.75" customHeight="1" s="28"/>
    <row r="692" ht="15.75" customHeight="1" s="28"/>
    <row r="693" ht="15.75" customHeight="1" s="28"/>
    <row r="694" ht="15.75" customHeight="1" s="28"/>
    <row r="695" ht="15.75" customHeight="1" s="28"/>
    <row r="696" ht="15.75" customHeight="1" s="28"/>
    <row r="697" ht="15.75" customHeight="1" s="28"/>
    <row r="698" ht="15.75" customHeight="1" s="28"/>
    <row r="699" ht="15.75" customHeight="1" s="28"/>
    <row r="700" ht="15.75" customHeight="1" s="28"/>
    <row r="701" ht="15.75" customHeight="1" s="28"/>
    <row r="702" ht="15.75" customHeight="1" s="28"/>
    <row r="703" ht="15.75" customHeight="1" s="28"/>
    <row r="704" ht="15.75" customHeight="1" s="28"/>
    <row r="705" ht="15.75" customHeight="1" s="28"/>
    <row r="706" ht="15.75" customHeight="1" s="28"/>
    <row r="707" ht="15.75" customHeight="1" s="28"/>
    <row r="708" ht="15.75" customHeight="1" s="28"/>
    <row r="709" ht="15.75" customHeight="1" s="28"/>
    <row r="710" ht="15.75" customHeight="1" s="28"/>
    <row r="711" ht="15.75" customHeight="1" s="28"/>
    <row r="712" ht="15.75" customHeight="1" s="28"/>
    <row r="713" ht="15.75" customHeight="1" s="28"/>
    <row r="714" ht="15.75" customHeight="1" s="28"/>
    <row r="715" ht="15.75" customHeight="1" s="28"/>
    <row r="716" ht="15.75" customHeight="1" s="28"/>
    <row r="717" ht="15.75" customHeight="1" s="28"/>
    <row r="718" ht="15.75" customHeight="1" s="28"/>
    <row r="719" ht="15.75" customHeight="1" s="28"/>
    <row r="720" ht="15.75" customHeight="1" s="28"/>
    <row r="721" ht="15.75" customHeight="1" s="28"/>
    <row r="722" ht="15.75" customHeight="1" s="28"/>
    <row r="723" ht="15.75" customHeight="1" s="28"/>
    <row r="724" ht="15.75" customHeight="1" s="28"/>
    <row r="725" ht="15.75" customHeight="1" s="28"/>
    <row r="726" ht="15.75" customHeight="1" s="28"/>
    <row r="727" ht="15.75" customHeight="1" s="28"/>
    <row r="728" ht="15.75" customHeight="1" s="28"/>
    <row r="729" ht="15.75" customHeight="1" s="28"/>
    <row r="730" ht="15.75" customHeight="1" s="28"/>
    <row r="731" ht="15.75" customHeight="1" s="28"/>
    <row r="732" ht="15.75" customHeight="1" s="28"/>
    <row r="733" ht="15.75" customHeight="1" s="28"/>
    <row r="734" ht="15.75" customHeight="1" s="28"/>
    <row r="735" ht="15.75" customHeight="1" s="28"/>
    <row r="736" ht="15.75" customHeight="1" s="28"/>
    <row r="737" ht="15.75" customHeight="1" s="28"/>
    <row r="738" ht="15.75" customHeight="1" s="28"/>
    <row r="739" ht="15.75" customHeight="1" s="28"/>
    <row r="740" ht="15.75" customHeight="1" s="28"/>
    <row r="741" ht="15.75" customHeight="1" s="28"/>
    <row r="742" ht="15.75" customHeight="1" s="28"/>
    <row r="743" ht="15.75" customHeight="1" s="28"/>
    <row r="744" ht="15.75" customHeight="1" s="28"/>
    <row r="745" ht="15.75" customHeight="1" s="28"/>
    <row r="746" ht="15.75" customHeight="1" s="28"/>
    <row r="747" ht="15.75" customHeight="1" s="28"/>
    <row r="748" ht="15.75" customHeight="1" s="28"/>
    <row r="749" ht="15.75" customHeight="1" s="28"/>
    <row r="750" ht="15.75" customHeight="1" s="28"/>
    <row r="751" ht="15.75" customHeight="1" s="28"/>
    <row r="752" ht="15.75" customHeight="1" s="28"/>
    <row r="753" ht="15.75" customHeight="1" s="28"/>
    <row r="754" ht="15.75" customHeight="1" s="28"/>
    <row r="755" ht="15.75" customHeight="1" s="28"/>
    <row r="756" ht="15.75" customHeight="1" s="28"/>
    <row r="757" ht="15.75" customHeight="1" s="28"/>
    <row r="758" ht="15.75" customHeight="1" s="28"/>
    <row r="759" ht="15.75" customHeight="1" s="28"/>
    <row r="760" ht="15.75" customHeight="1" s="28"/>
    <row r="761" ht="15.75" customHeight="1" s="28"/>
    <row r="762" ht="15.75" customHeight="1" s="28"/>
    <row r="763" ht="15.75" customHeight="1" s="28"/>
    <row r="764" ht="15.75" customHeight="1" s="28"/>
    <row r="765" ht="15.75" customHeight="1" s="28"/>
    <row r="766" ht="15.75" customHeight="1" s="28"/>
    <row r="767" ht="15.75" customHeight="1" s="28"/>
    <row r="768" ht="15.75" customHeight="1" s="28"/>
    <row r="769" ht="15.75" customHeight="1" s="28"/>
    <row r="770" ht="15.75" customHeight="1" s="28"/>
    <row r="771" ht="15.75" customHeight="1" s="28"/>
    <row r="772" ht="15.75" customHeight="1" s="28"/>
    <row r="773" ht="15.75" customHeight="1" s="28"/>
    <row r="774" ht="15.75" customHeight="1" s="28"/>
    <row r="775" ht="15.75" customHeight="1" s="28"/>
    <row r="776" ht="15.75" customHeight="1" s="28"/>
    <row r="777" ht="15.75" customHeight="1" s="28"/>
    <row r="778" ht="15.75" customHeight="1" s="28"/>
    <row r="779" ht="15.75" customHeight="1" s="28"/>
    <row r="780" ht="15.75" customHeight="1" s="28"/>
    <row r="781" ht="15.75" customHeight="1" s="28"/>
    <row r="782" ht="15.75" customHeight="1" s="28"/>
    <row r="783" ht="15.75" customHeight="1" s="28"/>
    <row r="784" ht="15.75" customHeight="1" s="28"/>
    <row r="785" ht="15.75" customHeight="1" s="28"/>
    <row r="786" ht="15.75" customHeight="1" s="28"/>
    <row r="787" ht="15.75" customHeight="1" s="28"/>
    <row r="788" ht="15.75" customHeight="1" s="28"/>
    <row r="789" ht="15.75" customHeight="1" s="28"/>
    <row r="790" ht="15.75" customHeight="1" s="28"/>
    <row r="791" ht="15.75" customHeight="1" s="28"/>
    <row r="792" ht="15.75" customHeight="1" s="28"/>
    <row r="793" ht="15.75" customHeight="1" s="28"/>
    <row r="794" ht="15.75" customHeight="1" s="28"/>
    <row r="795" ht="15.75" customHeight="1" s="28"/>
    <row r="796" ht="15.75" customHeight="1" s="28"/>
    <row r="797" ht="15.75" customHeight="1" s="28"/>
    <row r="798" ht="15.75" customHeight="1" s="28"/>
    <row r="799" ht="15.75" customHeight="1" s="28"/>
    <row r="800" ht="15.75" customHeight="1" s="28"/>
    <row r="801" ht="15.75" customHeight="1" s="28"/>
    <row r="802" ht="15.75" customHeight="1" s="28"/>
    <row r="803" ht="15.75" customHeight="1" s="28"/>
    <row r="804" ht="15.75" customHeight="1" s="28"/>
    <row r="805" ht="15.75" customHeight="1" s="28"/>
    <row r="806" ht="15.75" customHeight="1" s="28"/>
    <row r="807" ht="15.75" customHeight="1" s="28"/>
    <row r="808" ht="15.75" customHeight="1" s="28"/>
    <row r="809" ht="15.75" customHeight="1" s="28"/>
    <row r="810" ht="15.75" customHeight="1" s="28"/>
    <row r="811" ht="15.75" customHeight="1" s="28"/>
    <row r="812" ht="15.75" customHeight="1" s="28"/>
    <row r="813" ht="15.75" customHeight="1" s="28"/>
    <row r="814" ht="15.75" customHeight="1" s="28"/>
    <row r="815" ht="15.75" customHeight="1" s="28"/>
    <row r="816" ht="15.75" customHeight="1" s="28"/>
    <row r="817" ht="15.75" customHeight="1" s="28"/>
    <row r="818" ht="15.75" customHeight="1" s="28"/>
    <row r="819" ht="15.75" customHeight="1" s="28"/>
    <row r="820" ht="15.75" customHeight="1" s="28"/>
    <row r="821" ht="15.75" customHeight="1" s="28"/>
    <row r="822" ht="15.75" customHeight="1" s="28"/>
    <row r="823" ht="15.75" customHeight="1" s="28"/>
    <row r="824" ht="15.75" customHeight="1" s="28"/>
    <row r="825" ht="15.75" customHeight="1" s="28"/>
    <row r="826" ht="15.75" customHeight="1" s="28"/>
    <row r="827" ht="15.75" customHeight="1" s="28"/>
    <row r="828" ht="15.75" customHeight="1" s="28"/>
    <row r="829" ht="15.75" customHeight="1" s="28"/>
    <row r="830" ht="15.75" customHeight="1" s="28"/>
    <row r="831" ht="15.75" customHeight="1" s="28"/>
    <row r="832" ht="15.75" customHeight="1" s="28"/>
    <row r="833" ht="15.75" customHeight="1" s="28"/>
    <row r="834" ht="15.75" customHeight="1" s="28"/>
    <row r="835" ht="15.75" customHeight="1" s="28"/>
    <row r="836" ht="15.75" customHeight="1" s="28"/>
    <row r="837" ht="15.75" customHeight="1" s="28"/>
    <row r="838" ht="15.75" customHeight="1" s="28"/>
    <row r="839" ht="15.75" customHeight="1" s="28"/>
    <row r="840" ht="15.75" customHeight="1" s="28"/>
    <row r="841" ht="15.75" customHeight="1" s="28"/>
    <row r="842" ht="15.75" customHeight="1" s="28"/>
    <row r="843" ht="15.75" customHeight="1" s="28"/>
    <row r="844" ht="15.75" customHeight="1" s="28"/>
    <row r="845" ht="15.75" customHeight="1" s="28"/>
    <row r="846" ht="15.75" customHeight="1" s="28"/>
    <row r="847" ht="15.75" customHeight="1" s="28"/>
    <row r="848" ht="15.75" customHeight="1" s="28"/>
    <row r="849" ht="15.75" customHeight="1" s="28"/>
    <row r="850" ht="15.75" customHeight="1" s="28"/>
    <row r="851" ht="15.75" customHeight="1" s="28"/>
    <row r="852" ht="15.75" customHeight="1" s="28"/>
    <row r="853" ht="15.75" customHeight="1" s="28"/>
    <row r="854" ht="15.75" customHeight="1" s="28"/>
    <row r="855" ht="15.75" customHeight="1" s="28"/>
    <row r="856" ht="15.75" customHeight="1" s="28"/>
    <row r="857" ht="15.75" customHeight="1" s="28"/>
    <row r="858" ht="15.75" customHeight="1" s="28"/>
    <row r="859" ht="15.75" customHeight="1" s="28"/>
    <row r="860" ht="15.75" customHeight="1" s="28"/>
    <row r="861" ht="15.75" customHeight="1" s="28"/>
    <row r="862" ht="15.75" customHeight="1" s="28"/>
    <row r="863" ht="15.75" customHeight="1" s="28"/>
    <row r="864" ht="15.75" customHeight="1" s="28"/>
    <row r="865" ht="15.75" customHeight="1" s="28"/>
    <row r="866" ht="15.75" customHeight="1" s="28"/>
    <row r="867" ht="15.75" customHeight="1" s="28"/>
    <row r="868" ht="15.75" customHeight="1" s="28"/>
    <row r="869" ht="15.75" customHeight="1" s="28"/>
    <row r="870" ht="15.75" customHeight="1" s="28"/>
    <row r="871" ht="15.75" customHeight="1" s="28"/>
    <row r="872" ht="15.75" customHeight="1" s="28"/>
    <row r="873" ht="15.75" customHeight="1" s="28"/>
    <row r="874" ht="15.75" customHeight="1" s="28"/>
    <row r="875" ht="15.75" customHeight="1" s="28"/>
    <row r="876" ht="15.75" customHeight="1" s="28"/>
    <row r="877" ht="15.75" customHeight="1" s="28"/>
    <row r="878" ht="15.75" customHeight="1" s="28"/>
    <row r="879" ht="15.75" customHeight="1" s="28"/>
    <row r="880" ht="15.75" customHeight="1" s="28"/>
    <row r="881" ht="15.75" customHeight="1" s="28"/>
    <row r="882" ht="15.75" customHeight="1" s="28"/>
    <row r="883" ht="15.75" customHeight="1" s="28"/>
    <row r="884" ht="15.75" customHeight="1" s="28"/>
    <row r="885" ht="15.75" customHeight="1" s="28"/>
    <row r="886" ht="15.75" customHeight="1" s="28"/>
    <row r="887" ht="15.75" customHeight="1" s="28"/>
    <row r="888" ht="15.75" customHeight="1" s="28"/>
    <row r="889" ht="15.75" customHeight="1" s="28"/>
    <row r="890" ht="15.75" customHeight="1" s="28"/>
    <row r="891" ht="15.75" customHeight="1" s="28"/>
    <row r="892" ht="15.75" customHeight="1" s="28"/>
    <row r="893" ht="15.75" customHeight="1" s="28"/>
    <row r="894" ht="15.75" customHeight="1" s="28"/>
    <row r="895" ht="15.75" customHeight="1" s="28"/>
    <row r="896" ht="15.75" customHeight="1" s="28"/>
    <row r="897" ht="15.75" customHeight="1" s="28"/>
    <row r="898" ht="15.75" customHeight="1" s="28"/>
    <row r="899" ht="15.75" customHeight="1" s="28"/>
    <row r="900" ht="15.75" customHeight="1" s="28"/>
    <row r="901" ht="15.75" customHeight="1" s="28"/>
    <row r="902" ht="15.75" customHeight="1" s="28"/>
    <row r="903" ht="15.75" customHeight="1" s="28"/>
    <row r="904" ht="15.75" customHeight="1" s="28"/>
    <row r="905" ht="15.75" customHeight="1" s="28"/>
    <row r="906" ht="15.75" customHeight="1" s="28"/>
    <row r="907" ht="15.75" customHeight="1" s="28"/>
    <row r="908" ht="15.75" customHeight="1" s="28"/>
    <row r="909" ht="15.75" customHeight="1" s="28"/>
    <row r="910" ht="15.75" customHeight="1" s="28"/>
    <row r="911" ht="15.75" customHeight="1" s="28"/>
    <row r="912" ht="15.75" customHeight="1" s="28"/>
    <row r="913" ht="15.75" customHeight="1" s="28"/>
    <row r="914" ht="15.75" customHeight="1" s="28"/>
    <row r="915" ht="15.75" customHeight="1" s="28"/>
    <row r="916" ht="15.75" customHeight="1" s="28"/>
    <row r="917" ht="15.75" customHeight="1" s="28"/>
    <row r="918" ht="15.75" customHeight="1" s="28"/>
    <row r="919" ht="15.75" customHeight="1" s="28"/>
    <row r="920" ht="15.75" customHeight="1" s="28"/>
    <row r="921" ht="15.75" customHeight="1" s="28"/>
    <row r="922" ht="15.75" customHeight="1" s="28"/>
    <row r="923" ht="15.75" customHeight="1" s="28"/>
    <row r="924" ht="15.75" customHeight="1" s="28"/>
    <row r="925" ht="15.75" customHeight="1" s="28"/>
    <row r="926" ht="15.75" customHeight="1" s="28"/>
    <row r="927" ht="15.75" customHeight="1" s="28"/>
    <row r="928" ht="15.75" customHeight="1" s="28"/>
    <row r="929" ht="15.75" customHeight="1" s="28"/>
    <row r="930" ht="15.75" customHeight="1" s="28"/>
    <row r="931" ht="15.75" customHeight="1" s="28"/>
    <row r="932" ht="15.75" customHeight="1" s="28"/>
    <row r="933" ht="15.75" customHeight="1" s="28"/>
    <row r="934" ht="15.75" customHeight="1" s="28"/>
    <row r="935" ht="15.75" customHeight="1" s="28"/>
    <row r="936" ht="15.75" customHeight="1" s="28"/>
    <row r="937" ht="15.75" customHeight="1" s="28"/>
    <row r="938" ht="15.75" customHeight="1" s="28"/>
    <row r="939" ht="15.75" customHeight="1" s="28"/>
    <row r="940" ht="15.75" customHeight="1" s="28"/>
    <row r="941" ht="15.75" customHeight="1" s="28"/>
    <row r="942" ht="15.75" customHeight="1" s="28"/>
    <row r="943" ht="15.75" customHeight="1" s="28"/>
    <row r="944" ht="15.75" customHeight="1" s="28"/>
    <row r="945" ht="15.75" customHeight="1" s="28"/>
    <row r="946" ht="15.75" customHeight="1" s="28"/>
    <row r="947" ht="15.75" customHeight="1" s="28"/>
    <row r="948" ht="15.75" customHeight="1" s="28"/>
    <row r="949" ht="15.75" customHeight="1" s="28"/>
    <row r="950" ht="15.75" customHeight="1" s="28"/>
    <row r="951" ht="15.75" customHeight="1" s="28"/>
    <row r="952" ht="15.75" customHeight="1" s="28"/>
    <row r="953" ht="15.75" customHeight="1" s="28"/>
    <row r="954" ht="15.75" customHeight="1" s="28"/>
    <row r="955" ht="15.75" customHeight="1" s="28"/>
    <row r="956" ht="15.75" customHeight="1" s="28"/>
    <row r="957" ht="15.75" customHeight="1" s="28"/>
    <row r="958" ht="15.75" customHeight="1" s="28"/>
    <row r="959" ht="15.75" customHeight="1" s="28"/>
    <row r="960" ht="15.75" customHeight="1" s="28"/>
    <row r="961" ht="15.75" customHeight="1" s="28"/>
    <row r="962" ht="15.75" customHeight="1" s="28"/>
    <row r="963" ht="15.75" customHeight="1" s="28"/>
    <row r="964" ht="15.75" customHeight="1" s="28"/>
    <row r="965" ht="15.75" customHeight="1" s="28"/>
    <row r="966" ht="15.75" customHeight="1" s="28"/>
    <row r="967" ht="15.75" customHeight="1" s="28"/>
    <row r="968" ht="15.75" customHeight="1" s="28"/>
    <row r="969" ht="15.75" customHeight="1" s="28"/>
    <row r="970" ht="15.75" customHeight="1" s="28"/>
    <row r="971" ht="15.75" customHeight="1" s="28"/>
    <row r="972" ht="15.75" customHeight="1" s="28"/>
    <row r="973" ht="15.75" customHeight="1" s="28"/>
    <row r="974" ht="15.75" customHeight="1" s="28"/>
    <row r="975" ht="15.75" customHeight="1" s="28"/>
    <row r="976" ht="15.75" customHeight="1" s="28"/>
    <row r="977" ht="15.75" customHeight="1" s="28"/>
    <row r="978" ht="15.75" customHeight="1" s="28"/>
    <row r="979" ht="15.75" customHeight="1" s="28"/>
    <row r="980" ht="15.75" customHeight="1" s="28"/>
    <row r="981" ht="15.75" customHeight="1" s="28"/>
    <row r="982" ht="15.75" customHeight="1" s="28"/>
    <row r="983" ht="15.75" customHeight="1" s="28"/>
    <row r="984" ht="15.75" customHeight="1" s="28"/>
    <row r="985" ht="15.75" customHeight="1" s="28"/>
    <row r="986" ht="15.75" customHeight="1" s="28"/>
    <row r="987" ht="15.75" customHeight="1" s="28"/>
    <row r="988" ht="15.75" customHeight="1" s="28"/>
    <row r="989" ht="15.75" customHeight="1" s="28"/>
    <row r="990" ht="15.75" customHeight="1" s="28"/>
    <row r="991" ht="15.75" customHeight="1" s="28"/>
    <row r="992" ht="15.75" customHeight="1" s="28"/>
    <row r="993" ht="15.75" customHeight="1" s="28"/>
    <row r="994" ht="15.75" customHeight="1" s="28"/>
    <row r="995" ht="15.75" customHeight="1" s="28"/>
    <row r="996" ht="15.75" customHeight="1" s="28"/>
    <row r="997" ht="15.75" customHeight="1" s="28"/>
    <row r="998" ht="15.75" customHeight="1" s="28"/>
    <row r="999" ht="15.75" customHeight="1" s="28"/>
    <row r="1000" ht="15.75" customHeight="1" s="28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style="28" min="1" max="1"/>
    <col width="10" customWidth="1" style="28" min="2" max="2"/>
    <col width="12" customWidth="1" style="28" min="3" max="3"/>
    <col width="12" customWidth="1" style="28" min="4" max="4"/>
    <col width="12" customWidth="1" style="28" min="5" max="5"/>
    <col width="10" customWidth="1" style="28" min="6" max="6"/>
    <col width="12" customWidth="1" style="28" min="7" max="7"/>
    <col width="10" customWidth="1" style="28" min="8" max="8"/>
    <col width="30" customWidth="1" style="28" min="9" max="9"/>
  </cols>
  <sheetData>
    <row r="1">
      <c r="A1" s="40" t="inlineStr">
        <is>
          <t>Date</t>
        </is>
      </c>
      <c r="B1" s="40" t="inlineStr">
        <is>
          <t>Gauge %</t>
        </is>
      </c>
      <c r="C1" s="40" t="inlineStr">
        <is>
          <t>Est. Liters</t>
        </is>
      </c>
      <c r="D1" s="40" t="inlineStr">
        <is>
          <t>Days Since Last</t>
        </is>
      </c>
      <c r="E1" s="40" t="inlineStr">
        <is>
          <t>Liters Used</t>
        </is>
      </c>
      <c r="F1" s="40" t="inlineStr">
        <is>
          <t>L/day</t>
        </is>
      </c>
      <c r="G1" s="40" t="inlineStr">
        <is>
          <t>HDD Period</t>
        </is>
      </c>
      <c r="H1" s="40" t="inlineStr">
        <is>
          <t>L/HDD</t>
        </is>
      </c>
      <c r="I1" s="40" t="inlineStr">
        <is>
          <t>Notes</t>
        </is>
      </c>
    </row>
    <row r="2">
      <c r="A2" s="41" t="inlineStr">
        <is>
          <t>2024-10-23</t>
        </is>
      </c>
      <c r="B2" s="42" t="n">
        <v>100</v>
      </c>
      <c r="C2" s="42" t="n">
        <v>1000</v>
      </c>
      <c r="D2" s="43" t="inlineStr"/>
      <c r="E2" s="42" t="inlineStr"/>
      <c r="F2" s="44" t="inlineStr"/>
      <c r="G2" s="42" t="inlineStr"/>
      <c r="H2" s="44" t="inlineStr"/>
      <c r="I2" s="45" t="inlineStr">
        <is>
          <t>Fill: 572.3L added</t>
        </is>
      </c>
    </row>
    <row r="3">
      <c r="A3" s="41" t="inlineStr">
        <is>
          <t>2025-02-25</t>
        </is>
      </c>
      <c r="B3" s="42" t="n">
        <v>100</v>
      </c>
      <c r="C3" s="42" t="n">
        <v>1000</v>
      </c>
      <c r="D3" s="43">
        <f>A3-A2</f>
        <v/>
      </c>
      <c r="E3" s="42">
        <f>C2-C3</f>
        <v/>
      </c>
      <c r="F3" s="44">
        <f>E3/D3</f>
        <v/>
      </c>
      <c r="G3" s="42" t="inlineStr"/>
      <c r="H3" s="44">
        <f>IF(G3&gt;0,E3/G3,"")</f>
        <v/>
      </c>
      <c r="I3" s="45" t="inlineStr">
        <is>
          <t>Fill: 394.7L added</t>
        </is>
      </c>
    </row>
    <row r="4">
      <c r="A4" s="41" t="inlineStr">
        <is>
          <t>2025-09-24</t>
        </is>
      </c>
      <c r="B4" s="42" t="n">
        <v>100</v>
      </c>
      <c r="C4" s="42" t="n">
        <v>1000</v>
      </c>
      <c r="D4" s="43">
        <f>A4-A3</f>
        <v/>
      </c>
      <c r="E4" s="42">
        <f>C3-C4</f>
        <v/>
      </c>
      <c r="F4" s="44">
        <f>E4/D4</f>
        <v/>
      </c>
      <c r="G4" s="42" t="inlineStr"/>
      <c r="H4" s="44">
        <f>IF(G4&gt;0,E4/G4,"")</f>
        <v/>
      </c>
      <c r="I4" s="45" t="inlineStr">
        <is>
          <t>Fill: 805L added</t>
        </is>
      </c>
    </row>
    <row r="5">
      <c r="A5" s="46" t="inlineStr">
        <is>
          <t>2025-11-08</t>
        </is>
      </c>
      <c r="B5" s="33" t="n">
        <v>75</v>
      </c>
      <c r="C5" s="33" t="n">
        <v>750</v>
      </c>
      <c r="D5" s="47">
        <f>A5-A4</f>
        <v/>
      </c>
      <c r="E5" s="33">
        <f>C4-C5</f>
        <v/>
      </c>
      <c r="F5" s="48">
        <f>E5/D5</f>
        <v/>
      </c>
      <c r="G5" s="33" t="inlineStr"/>
      <c r="H5" s="48">
        <f>IF(G5&gt;0,E5/G5,"")</f>
        <v/>
      </c>
      <c r="I5" t="inlineStr">
        <is>
          <t>Windows replaced Nov 6-8</t>
        </is>
      </c>
    </row>
    <row r="6">
      <c r="A6" s="41" t="inlineStr">
        <is>
          <t>2025-11-21</t>
        </is>
      </c>
      <c r="B6" s="42" t="n">
        <v>100</v>
      </c>
      <c r="C6" s="42" t="n">
        <v>1000</v>
      </c>
      <c r="D6" s="43">
        <f>A6-A5</f>
        <v/>
      </c>
      <c r="E6" s="42">
        <f>C5-C6</f>
        <v/>
      </c>
      <c r="F6" s="44">
        <f>E6/D6</f>
        <v/>
      </c>
      <c r="G6" s="42" t="inlineStr"/>
      <c r="H6" s="44">
        <f>IF(G6&gt;0,E6/G6,"")</f>
        <v/>
      </c>
      <c r="I6" s="45" t="inlineStr">
        <is>
          <t>Fill: 424.9L added</t>
        </is>
      </c>
    </row>
    <row r="7">
      <c r="A7" s="49">
        <f>Add new reading here</f>
        <v/>
      </c>
      <c r="C7" s="50">
        <f>B7*10</f>
        <v/>
      </c>
      <c r="D7" s="50">
        <f>A7-A6</f>
        <v/>
      </c>
      <c r="E7" s="50">
        <f>C6-C7</f>
        <v/>
      </c>
      <c r="F7" s="50">
        <f>E7/D7</f>
        <v/>
      </c>
      <c r="H7" s="50">
        <f>IF(G7&gt;0,E7/G7,"")</f>
        <v/>
      </c>
    </row>
    <row r="10">
      <c r="A10" s="39" t="inlineStr">
        <is>
          <t>HOW TO USE:</t>
        </is>
      </c>
    </row>
    <row r="11">
      <c r="A11" t="inlineStr">
        <is>
          <t>1. Record your gauge reading periodically (weekly or whenever you check)</t>
        </is>
      </c>
    </row>
    <row r="12">
      <c r="A12" t="inlineStr">
        <is>
          <t>2. Enter: Date and Gauge % (columns A and B)</t>
        </is>
      </c>
    </row>
    <row r="13">
      <c r="A13" t="inlineStr">
        <is>
          <t>3. Est. Liters auto-calculates: Gauge % × 10 (for 1000L tank)</t>
        </is>
      </c>
    </row>
    <row r="14">
      <c r="A14" t="inlineStr">
        <is>
          <t>4. Other columns calculate consumption since last reading</t>
        </is>
      </c>
    </row>
    <row r="15">
      <c r="A15" t="inlineStr">
        <is>
          <t>5. HDD Period: manually enter total HDD between readings (from Weather Data sheet)</t>
        </is>
      </c>
    </row>
    <row r="17">
      <c r="A17" s="51" t="inlineStr">
        <is>
          <t>EXAMPLE WORKFLOW:</t>
        </is>
      </c>
    </row>
    <row r="18">
      <c r="A18" t="inlineStr">
        <is>
          <t>• Today: Check gauge (e.g., 65%), enter date and 65 in columns A &amp; B</t>
        </is>
      </c>
    </row>
    <row r="19">
      <c r="A19" t="inlineStr">
        <is>
          <t>• Next week: Check gauge (e.g., 58%), enter new date and 58</t>
        </is>
      </c>
    </row>
    <row r="20">
      <c r="A20" t="inlineStr">
        <is>
          <t>• Sheet calculates: 70L used, 10L/day, and if you enter HDD, it shows L/HDD</t>
        </is>
      </c>
    </row>
    <row r="22">
      <c r="A22" s="51" t="inlineStr">
        <is>
          <t>BENEFITS:</t>
        </is>
      </c>
    </row>
    <row r="23">
      <c r="A23" t="inlineStr">
        <is>
          <t>✓ Track consumption between fills</t>
        </is>
      </c>
    </row>
    <row r="24">
      <c r="A24" t="inlineStr">
        <is>
          <t>✓ See immediate impact of window replacement</t>
        </is>
      </c>
    </row>
    <row r="25">
      <c r="A25" t="inlineStr">
        <is>
          <t>✓ Identify unusual consumption patterns</t>
        </is>
      </c>
    </row>
    <row r="26">
      <c r="A26" t="inlineStr">
        <is>
          <t>✓ Monitor efficiency throughout winter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28" min="1" max="6"/>
    <col width="8.710000000000001" customWidth="1" style="28" min="7" max="26"/>
  </cols>
  <sheetData>
    <row r="1">
      <c r="A1" s="6" t="inlineStr">
        <is>
          <t>Date</t>
        </is>
      </c>
      <c r="B1" s="6" t="inlineStr">
        <is>
          <t>Max Temp (°C)</t>
        </is>
      </c>
      <c r="C1" s="6" t="inlineStr">
        <is>
          <t>Min Temp (°C)</t>
        </is>
      </c>
      <c r="D1" s="6" t="inlineStr">
        <is>
          <t>Mean Temp (°C)</t>
        </is>
      </c>
      <c r="E1" s="6" t="inlineStr">
        <is>
          <t>HDD (18°C base)</t>
        </is>
      </c>
      <c r="F1" s="6" t="inlineStr">
        <is>
          <t>Notes</t>
        </is>
      </c>
    </row>
    <row r="2">
      <c r="A2" s="3" t="inlineStr">
        <is>
          <t>2025-09-24</t>
        </is>
      </c>
      <c r="B2" s="3" t="n">
        <v>16.4</v>
      </c>
      <c r="C2" s="3" t="n">
        <v>2.6</v>
      </c>
      <c r="D2" s="3">
        <f>(B2+C2)/2</f>
        <v/>
      </c>
      <c r="E2" s="3">
        <f>MAX(0,18-D2)</f>
        <v/>
      </c>
    </row>
    <row r="3">
      <c r="A3" s="3" t="inlineStr">
        <is>
          <t>2025-09-25</t>
        </is>
      </c>
      <c r="B3" s="3" t="n">
        <v>15.3</v>
      </c>
      <c r="C3" s="3" t="n">
        <v>-1.7</v>
      </c>
      <c r="D3" s="3">
        <f>(B3+C3)/2</f>
        <v/>
      </c>
      <c r="E3" s="3">
        <f>MAX(0,18-D3)</f>
        <v/>
      </c>
    </row>
    <row r="4">
      <c r="A4" s="3" t="inlineStr">
        <is>
          <t>2025-09-26</t>
        </is>
      </c>
      <c r="B4" s="3" t="n">
        <v>17.9</v>
      </c>
      <c r="C4" s="3" t="n">
        <v>-0.8</v>
      </c>
      <c r="D4" s="3">
        <f>(B4+C4)/2</f>
        <v/>
      </c>
      <c r="E4" s="3">
        <f>MAX(0,18-D4)</f>
        <v/>
      </c>
    </row>
    <row r="5">
      <c r="A5" s="3" t="inlineStr">
        <is>
          <t>2025-09-27</t>
        </is>
      </c>
      <c r="B5" s="3" t="n">
        <v>13.9</v>
      </c>
      <c r="C5" s="3" t="n">
        <v>3.9</v>
      </c>
      <c r="D5" s="3">
        <f>(B5+C5)/2</f>
        <v/>
      </c>
      <c r="E5" s="3">
        <f>MAX(0,18-D5)</f>
        <v/>
      </c>
    </row>
    <row r="6">
      <c r="A6" s="3" t="inlineStr">
        <is>
          <t>2025-09-28</t>
        </is>
      </c>
      <c r="B6" s="3" t="n">
        <v>15.7</v>
      </c>
      <c r="C6" s="3" t="n">
        <v>2.8</v>
      </c>
      <c r="D6" s="3">
        <f>(B6+C6)/2</f>
        <v/>
      </c>
      <c r="E6" s="3">
        <f>MAX(0,18-D6)</f>
        <v/>
      </c>
    </row>
    <row r="7">
      <c r="A7" s="3" t="inlineStr">
        <is>
          <t>2025-09-29</t>
        </is>
      </c>
      <c r="B7" s="3" t="n">
        <v>16</v>
      </c>
      <c r="C7" s="3" t="n">
        <v>7</v>
      </c>
      <c r="D7" s="3">
        <f>(B7+C7)/2</f>
        <v/>
      </c>
      <c r="E7" s="3">
        <f>MAX(0,18-D7)</f>
        <v/>
      </c>
    </row>
    <row r="8">
      <c r="A8" s="3" t="inlineStr">
        <is>
          <t>2025-09-30</t>
        </is>
      </c>
      <c r="B8" s="3" t="n">
        <v>16.7</v>
      </c>
      <c r="C8" s="3" t="n">
        <v>5.3</v>
      </c>
      <c r="D8" s="3">
        <f>(B8+C8)/2</f>
        <v/>
      </c>
      <c r="E8" s="3">
        <f>MAX(0,18-D8)</f>
        <v/>
      </c>
    </row>
    <row r="9">
      <c r="A9" s="3" t="inlineStr">
        <is>
          <t>2025-10-01</t>
        </is>
      </c>
      <c r="B9" s="3" t="n">
        <v>12</v>
      </c>
      <c r="C9" s="3" t="n">
        <v>2.4</v>
      </c>
      <c r="D9" s="3">
        <f>(B9+C9)/2</f>
        <v/>
      </c>
      <c r="E9" s="3">
        <f>MAX(0,18-D9)</f>
        <v/>
      </c>
    </row>
    <row r="10">
      <c r="A10" s="3" t="inlineStr">
        <is>
          <t>2025-10-02</t>
        </is>
      </c>
      <c r="B10" s="3" t="n">
        <v>15</v>
      </c>
      <c r="C10" s="3" t="n">
        <v>-2.1</v>
      </c>
      <c r="D10" s="3">
        <f>(B10+C10)/2</f>
        <v/>
      </c>
      <c r="E10" s="3">
        <f>MAX(0,18-D10)</f>
        <v/>
      </c>
    </row>
    <row r="11">
      <c r="A11" s="3" t="inlineStr">
        <is>
          <t>2025-10-03</t>
        </is>
      </c>
      <c r="B11" s="3" t="n">
        <v>14.7</v>
      </c>
      <c r="C11" s="3" t="n">
        <v>4.7</v>
      </c>
      <c r="D11" s="3">
        <f>(B11+C11)/2</f>
        <v/>
      </c>
      <c r="E11" s="3">
        <f>MAX(0,18-D11)</f>
        <v/>
      </c>
    </row>
    <row r="12">
      <c r="A12" s="3" t="inlineStr">
        <is>
          <t>2025-10-04</t>
        </is>
      </c>
      <c r="B12" s="3" t="n">
        <v>8.6</v>
      </c>
      <c r="C12" s="3" t="n">
        <v>3.1</v>
      </c>
      <c r="D12" s="3">
        <f>(B12+C12)/2</f>
        <v/>
      </c>
      <c r="E12" s="3">
        <f>MAX(0,18-D12)</f>
        <v/>
      </c>
    </row>
    <row r="13">
      <c r="A13" s="3" t="inlineStr">
        <is>
          <t>2025-10-05</t>
        </is>
      </c>
      <c r="B13" s="3" t="n">
        <v>6.2</v>
      </c>
      <c r="C13" s="3" t="n">
        <v>-2.5</v>
      </c>
      <c r="D13" s="3">
        <f>(B13+C13)/2</f>
        <v/>
      </c>
      <c r="E13" s="3">
        <f>MAX(0,18-D13)</f>
        <v/>
      </c>
    </row>
    <row r="14">
      <c r="A14" s="3" t="inlineStr">
        <is>
          <t>2025-10-06</t>
        </is>
      </c>
      <c r="B14" s="3" t="n">
        <v>4</v>
      </c>
      <c r="C14" s="3" t="n">
        <v>-8.699999999999999</v>
      </c>
      <c r="D14" s="3">
        <f>(B14+C14)/2</f>
        <v/>
      </c>
      <c r="E14" s="3">
        <f>MAX(0,18-D14)</f>
        <v/>
      </c>
    </row>
    <row r="15">
      <c r="A15" s="3" t="inlineStr">
        <is>
          <t>2025-10-07</t>
        </is>
      </c>
      <c r="B15" s="3" t="n">
        <v>9.300000000000001</v>
      </c>
      <c r="C15" s="3" t="n">
        <v>1</v>
      </c>
      <c r="D15" s="3">
        <f>(B15+C15)/2</f>
        <v/>
      </c>
      <c r="E15" s="3">
        <f>MAX(0,18-D15)</f>
        <v/>
      </c>
    </row>
    <row r="16">
      <c r="A16" s="3" t="inlineStr">
        <is>
          <t>2025-10-08</t>
        </is>
      </c>
      <c r="B16" s="3" t="n">
        <v>9.9</v>
      </c>
      <c r="C16" s="3" t="n">
        <v>4.4</v>
      </c>
      <c r="D16" s="3">
        <f>(B16+C16)/2</f>
        <v/>
      </c>
      <c r="E16" s="3">
        <f>MAX(0,18-D16)</f>
        <v/>
      </c>
    </row>
    <row r="17">
      <c r="A17" s="3" t="inlineStr">
        <is>
          <t>2025-10-09</t>
        </is>
      </c>
      <c r="B17" s="3" t="n">
        <v>13.6</v>
      </c>
      <c r="C17" s="3" t="n">
        <v>0.6</v>
      </c>
      <c r="D17" s="3">
        <f>(B17+C17)/2</f>
        <v/>
      </c>
      <c r="E17" s="3">
        <f>MAX(0,18-D17)</f>
        <v/>
      </c>
    </row>
    <row r="18">
      <c r="A18" s="3" t="inlineStr">
        <is>
          <t>2025-10-10</t>
        </is>
      </c>
      <c r="B18" s="3" t="n">
        <v>16.7</v>
      </c>
      <c r="C18" s="3" t="n">
        <v>2.5</v>
      </c>
      <c r="D18" s="3">
        <f>(B18+C18)/2</f>
        <v/>
      </c>
      <c r="E18" s="3">
        <f>MAX(0,18-D18)</f>
        <v/>
      </c>
    </row>
    <row r="19">
      <c r="A19" s="3" t="inlineStr">
        <is>
          <t>2025-10-11</t>
        </is>
      </c>
      <c r="B19" s="3" t="n">
        <v>7.5</v>
      </c>
      <c r="C19" s="3" t="n">
        <v>0.3</v>
      </c>
      <c r="D19" s="3">
        <f>(B19+C19)/2</f>
        <v/>
      </c>
      <c r="E19" s="3">
        <f>MAX(0,18-D19)</f>
        <v/>
      </c>
    </row>
    <row r="20">
      <c r="A20" s="3" t="inlineStr">
        <is>
          <t>2025-10-12</t>
        </is>
      </c>
      <c r="B20" s="3" t="n">
        <v>1.5</v>
      </c>
      <c r="C20" s="3" t="n">
        <v>-4</v>
      </c>
      <c r="D20" s="3">
        <f>(B20+C20)/2</f>
        <v/>
      </c>
      <c r="E20" s="3">
        <f>MAX(0,18-D20)</f>
        <v/>
      </c>
    </row>
    <row r="21" ht="15.75" customHeight="1" s="28">
      <c r="A21" s="3" t="inlineStr">
        <is>
          <t>2025-10-13</t>
        </is>
      </c>
      <c r="B21" s="3" t="n">
        <v>4.8</v>
      </c>
      <c r="C21" s="3" t="n">
        <v>-6.3</v>
      </c>
      <c r="D21" s="3">
        <f>(B21+C21)/2</f>
        <v/>
      </c>
      <c r="E21" s="3">
        <f>MAX(0,18-D21)</f>
        <v/>
      </c>
    </row>
    <row r="22" ht="15.75" customHeight="1" s="28">
      <c r="A22" s="3" t="inlineStr">
        <is>
          <t>2025-10-14</t>
        </is>
      </c>
      <c r="B22" s="3" t="n">
        <v>10.9</v>
      </c>
      <c r="C22" s="3" t="n">
        <v>-1</v>
      </c>
      <c r="D22" s="3">
        <f>(B22+C22)/2</f>
        <v/>
      </c>
      <c r="E22" s="3">
        <f>MAX(0,18-D22)</f>
        <v/>
      </c>
    </row>
    <row r="23" ht="15.75" customHeight="1" s="28">
      <c r="A23" s="3" t="inlineStr">
        <is>
          <t>2025-10-15</t>
        </is>
      </c>
      <c r="B23" s="3" t="n">
        <v>15.4</v>
      </c>
      <c r="C23" s="3" t="n">
        <v>2.2</v>
      </c>
      <c r="D23" s="3">
        <f>(B23+C23)/2</f>
        <v/>
      </c>
      <c r="E23" s="3">
        <f>MAX(0,18-D23)</f>
        <v/>
      </c>
    </row>
    <row r="24" ht="15.75" customHeight="1" s="28">
      <c r="A24" s="3" t="inlineStr">
        <is>
          <t>2025-10-16</t>
        </is>
      </c>
      <c r="B24" s="3" t="n">
        <v>7</v>
      </c>
      <c r="C24" s="3" t="n">
        <v>3.8</v>
      </c>
      <c r="D24" s="3">
        <f>(B24+C24)/2</f>
        <v/>
      </c>
      <c r="E24" s="3">
        <f>MAX(0,18-D24)</f>
        <v/>
      </c>
    </row>
    <row r="25" ht="15.75" customHeight="1" s="28">
      <c r="A25" s="3" t="inlineStr">
        <is>
          <t>2025-10-17</t>
        </is>
      </c>
      <c r="B25" s="3" t="n">
        <v>6.1</v>
      </c>
      <c r="C25" s="3" t="n">
        <v>-0.5</v>
      </c>
      <c r="D25" s="3">
        <f>(B25+C25)/2</f>
        <v/>
      </c>
      <c r="E25" s="3">
        <f>MAX(0,18-D25)</f>
        <v/>
      </c>
    </row>
    <row r="26" ht="15.75" customHeight="1" s="28">
      <c r="A26" s="3" t="inlineStr">
        <is>
          <t>2025-10-18</t>
        </is>
      </c>
      <c r="B26" s="3" t="n">
        <v>3.6</v>
      </c>
      <c r="C26" s="3" t="n">
        <v>2.1</v>
      </c>
      <c r="D26" s="3">
        <f>(B26+C26)/2</f>
        <v/>
      </c>
      <c r="E26" s="3">
        <f>MAX(0,18-D26)</f>
        <v/>
      </c>
    </row>
    <row r="27" ht="15.75" customHeight="1" s="28">
      <c r="A27" s="3" t="inlineStr">
        <is>
          <t>2025-10-19</t>
        </is>
      </c>
      <c r="B27" s="3" t="n">
        <v>3.2</v>
      </c>
      <c r="C27" s="3" t="n">
        <v>1</v>
      </c>
      <c r="D27" s="3">
        <f>(B27+C27)/2</f>
        <v/>
      </c>
      <c r="E27" s="3">
        <f>MAX(0,18-D27)</f>
        <v/>
      </c>
    </row>
    <row r="28" ht="15.75" customHeight="1" s="28">
      <c r="A28" s="3" t="inlineStr">
        <is>
          <t>2025-10-20</t>
        </is>
      </c>
      <c r="B28" s="3" t="n">
        <v>4.5</v>
      </c>
      <c r="C28" s="3" t="n">
        <v>-3.9</v>
      </c>
      <c r="D28" s="3">
        <f>(B28+C28)/2</f>
        <v/>
      </c>
      <c r="E28" s="3">
        <f>MAX(0,18-D28)</f>
        <v/>
      </c>
    </row>
    <row r="29" ht="15.75" customHeight="1" s="28">
      <c r="A29" s="3" t="inlineStr">
        <is>
          <t>2025-10-21</t>
        </is>
      </c>
      <c r="B29" s="3" t="n">
        <v>3.5</v>
      </c>
      <c r="C29" s="3" t="n">
        <v>0.4</v>
      </c>
      <c r="D29" s="3">
        <f>(B29+C29)/2</f>
        <v/>
      </c>
      <c r="E29" s="3">
        <f>MAX(0,18-D29)</f>
        <v/>
      </c>
    </row>
    <row r="30" ht="15.75" customHeight="1" s="28">
      <c r="A30" s="3" t="inlineStr">
        <is>
          <t>2025-10-22</t>
        </is>
      </c>
      <c r="B30" s="3" t="n">
        <v>7.4</v>
      </c>
      <c r="C30" s="3" t="n">
        <v>0.6</v>
      </c>
      <c r="D30" s="3">
        <f>(B30+C30)/2</f>
        <v/>
      </c>
      <c r="E30" s="3">
        <f>MAX(0,18-D30)</f>
        <v/>
      </c>
    </row>
    <row r="31" ht="15.75" customHeight="1" s="28">
      <c r="A31" s="3" t="inlineStr">
        <is>
          <t>2025-10-23</t>
        </is>
      </c>
      <c r="B31" s="3" t="n">
        <v>12.2</v>
      </c>
      <c r="C31" s="3" t="n">
        <v>5.2</v>
      </c>
      <c r="D31" s="3">
        <f>(B31+C31)/2</f>
        <v/>
      </c>
      <c r="E31" s="3">
        <f>MAX(0,18-D31)</f>
        <v/>
      </c>
    </row>
    <row r="32" ht="15.75" customHeight="1" s="28">
      <c r="A32" s="3" t="inlineStr">
        <is>
          <t>2025-10-24</t>
        </is>
      </c>
      <c r="B32" s="3" t="n">
        <v>12.9</v>
      </c>
      <c r="C32" s="3" t="n">
        <v>5.6</v>
      </c>
      <c r="D32" s="3">
        <f>(B32+C32)/2</f>
        <v/>
      </c>
      <c r="E32" s="3">
        <f>MAX(0,18-D32)</f>
        <v/>
      </c>
    </row>
    <row r="33" ht="15.75" customHeight="1" s="28">
      <c r="A33" s="3" t="inlineStr">
        <is>
          <t>2025-10-25</t>
        </is>
      </c>
      <c r="B33" s="3" t="n">
        <v>7.5</v>
      </c>
      <c r="C33" s="3" t="n">
        <v>2.8</v>
      </c>
      <c r="D33" s="3">
        <f>(B33+C33)/2</f>
        <v/>
      </c>
      <c r="E33" s="3">
        <f>MAX(0,18-D33)</f>
        <v/>
      </c>
    </row>
    <row r="34" ht="15.75" customHeight="1" s="28">
      <c r="A34" s="3" t="inlineStr">
        <is>
          <t>2025-10-26</t>
        </is>
      </c>
      <c r="B34" s="3" t="n">
        <v>3.3</v>
      </c>
      <c r="C34" s="3" t="n">
        <v>-2.8</v>
      </c>
      <c r="D34" s="3">
        <f>(B34+C34)/2</f>
        <v/>
      </c>
      <c r="E34" s="3">
        <f>MAX(0,18-D34)</f>
        <v/>
      </c>
    </row>
    <row r="35" ht="15.75" customHeight="1" s="28">
      <c r="A35" s="3" t="inlineStr">
        <is>
          <t>2025-10-27</t>
        </is>
      </c>
      <c r="B35" s="3" t="n">
        <v>4</v>
      </c>
      <c r="C35" s="3" t="n">
        <v>-1.4</v>
      </c>
      <c r="D35" s="3">
        <f>(B35+C35)/2</f>
        <v/>
      </c>
      <c r="E35" s="3">
        <f>MAX(0,18-D35)</f>
        <v/>
      </c>
    </row>
    <row r="36" ht="15.75" customHeight="1" s="28">
      <c r="A36" s="3" t="inlineStr">
        <is>
          <t>2025-10-28</t>
        </is>
      </c>
      <c r="B36" s="3" t="n">
        <v>-0.8</v>
      </c>
      <c r="C36" s="3" t="n">
        <v>-2.4</v>
      </c>
      <c r="D36" s="3">
        <f>(B36+C36)/2</f>
        <v/>
      </c>
      <c r="E36" s="3">
        <f>MAX(0,18-D36)</f>
        <v/>
      </c>
    </row>
    <row r="37" ht="15.75" customHeight="1" s="28">
      <c r="A37" s="3" t="inlineStr">
        <is>
          <t>2025-10-29</t>
        </is>
      </c>
      <c r="B37" s="3" t="n">
        <v>0.1</v>
      </c>
      <c r="C37" s="3" t="n">
        <v>-2.3</v>
      </c>
      <c r="D37" s="3">
        <f>(B37+C37)/2</f>
        <v/>
      </c>
      <c r="E37" s="3">
        <f>MAX(0,18-D37)</f>
        <v/>
      </c>
    </row>
    <row r="38" ht="15.75" customHeight="1" s="28">
      <c r="A38" s="3" t="inlineStr">
        <is>
          <t>2025-10-30</t>
        </is>
      </c>
      <c r="B38" s="7" t="n"/>
      <c r="C38" s="7" t="n"/>
      <c r="D38" s="3">
        <f>(B38+C38)/2</f>
        <v/>
      </c>
      <c r="E38" s="3">
        <f>MAX(0,18-D38)</f>
        <v/>
      </c>
    </row>
    <row r="39" ht="15.75" customHeight="1" s="28">
      <c r="A39" s="3" t="inlineStr">
        <is>
          <t>2025-10-31</t>
        </is>
      </c>
      <c r="B39" s="3" t="n">
        <v>2.4</v>
      </c>
      <c r="C39" s="3" t="n">
        <v>-3.4</v>
      </c>
      <c r="D39" s="3">
        <f>(B39+C39)/2</f>
        <v/>
      </c>
      <c r="E39" s="3">
        <f>MAX(0,18-D39)</f>
        <v/>
      </c>
    </row>
    <row r="40" ht="15.75" customHeight="1" s="28">
      <c r="A40" s="3" t="inlineStr">
        <is>
          <t>2025-11-01</t>
        </is>
      </c>
      <c r="B40" s="3" t="n">
        <v>9.4</v>
      </c>
      <c r="C40" s="3" t="n">
        <v>1.2</v>
      </c>
      <c r="D40" s="3">
        <f>(B40+C40)/2</f>
        <v/>
      </c>
      <c r="E40" s="3">
        <f>MAX(0,18-D40)</f>
        <v/>
      </c>
    </row>
    <row r="41" ht="15.75" customHeight="1" s="28">
      <c r="A41" s="3" t="inlineStr">
        <is>
          <t>2025-11-02</t>
        </is>
      </c>
      <c r="B41" s="3" t="n">
        <v>6.8</v>
      </c>
      <c r="C41" s="3" t="n">
        <v>0.9</v>
      </c>
      <c r="D41" s="3">
        <f>(B41+C41)/2</f>
        <v/>
      </c>
      <c r="E41" s="3">
        <f>MAX(0,18-D41)</f>
        <v/>
      </c>
    </row>
    <row r="42" ht="15.75" customHeight="1" s="28">
      <c r="A42" s="3" t="inlineStr">
        <is>
          <t>2025-11-03</t>
        </is>
      </c>
      <c r="B42" s="3" t="n">
        <v>3.7</v>
      </c>
      <c r="C42" s="3" t="n">
        <v>-2.4</v>
      </c>
      <c r="D42" s="3">
        <f>(B42+C42)/2</f>
        <v/>
      </c>
      <c r="E42" s="3">
        <f>MAX(0,18-D42)</f>
        <v/>
      </c>
    </row>
    <row r="43" ht="15.75" customHeight="1" s="28">
      <c r="A43" s="3" t="inlineStr">
        <is>
          <t>2025-11-04</t>
        </is>
      </c>
      <c r="B43" s="3" t="n">
        <v>-0.4</v>
      </c>
      <c r="C43" s="3" t="n">
        <v>-4.8</v>
      </c>
      <c r="D43" s="3">
        <f>(B43+C43)/2</f>
        <v/>
      </c>
      <c r="E43" s="3">
        <f>MAX(0,18-D43)</f>
        <v/>
      </c>
    </row>
    <row r="44" ht="15.75" customHeight="1" s="28">
      <c r="A44" s="3" t="inlineStr">
        <is>
          <t>2025-11-05</t>
        </is>
      </c>
      <c r="B44" s="3" t="n">
        <v>-3.4</v>
      </c>
      <c r="C44" s="3" t="n">
        <v>-9</v>
      </c>
      <c r="D44" s="3">
        <f>(B44+C44)/2</f>
        <v/>
      </c>
      <c r="E44" s="3">
        <f>MAX(0,18-D44)</f>
        <v/>
      </c>
    </row>
    <row r="45" ht="15.75" customHeight="1" s="28">
      <c r="A45" s="3" t="inlineStr">
        <is>
          <t>2025-11-06</t>
        </is>
      </c>
      <c r="B45" s="3" t="n">
        <v>-9</v>
      </c>
      <c r="C45" s="3" t="n">
        <v>-15.1</v>
      </c>
      <c r="D45" s="3">
        <f>(B45+C45)/2</f>
        <v/>
      </c>
      <c r="E45" s="3">
        <f>MAX(0,18-D45)</f>
        <v/>
      </c>
    </row>
    <row r="46" ht="15.75" customHeight="1" s="28">
      <c r="A46" s="3" t="inlineStr">
        <is>
          <t>2025-11-07</t>
        </is>
      </c>
      <c r="B46" s="3" t="n">
        <v>-5.7</v>
      </c>
      <c r="C46" s="3" t="n">
        <v>-11.3</v>
      </c>
      <c r="D46" s="3">
        <f>(B46+C46)/2</f>
        <v/>
      </c>
      <c r="E46" s="3">
        <f>MAX(0,18-D46)</f>
        <v/>
      </c>
    </row>
    <row r="47" ht="15.75" customHeight="1" s="28">
      <c r="A47" s="3" t="inlineStr">
        <is>
          <t>2025-11-08</t>
        </is>
      </c>
      <c r="B47" s="3" t="n">
        <v>-4.1</v>
      </c>
      <c r="C47" s="3" t="n">
        <v>-7.6</v>
      </c>
      <c r="D47" s="3">
        <f>(B47+C47)/2</f>
        <v/>
      </c>
      <c r="E47" s="3">
        <f>MAX(0,18-D47)</f>
        <v/>
      </c>
    </row>
    <row r="48" ht="15.75" customHeight="1" s="28">
      <c r="A48" s="3" t="inlineStr">
        <is>
          <t>2025-11-09</t>
        </is>
      </c>
      <c r="B48" s="3" t="n">
        <v>2.3</v>
      </c>
      <c r="C48" s="3" t="n">
        <v>-5.7</v>
      </c>
      <c r="D48" s="3">
        <f>(B48+C48)/2</f>
        <v/>
      </c>
      <c r="E48" s="3">
        <f>MAX(0,18-D48)</f>
        <v/>
      </c>
    </row>
    <row r="49" ht="15.75" customHeight="1" s="28">
      <c r="A49" s="3" t="inlineStr">
        <is>
          <t>2025-11-10</t>
        </is>
      </c>
      <c r="B49" s="3" t="n">
        <v>6.2</v>
      </c>
      <c r="C49" s="3" t="n">
        <v>-2.6</v>
      </c>
      <c r="D49" s="3">
        <f>(B49+C49)/2</f>
        <v/>
      </c>
      <c r="E49" s="3">
        <f>MAX(0,18-D49)</f>
        <v/>
      </c>
    </row>
    <row r="50" ht="15.75" customHeight="1" s="28">
      <c r="A50" s="3" t="inlineStr">
        <is>
          <t>2025-11-11</t>
        </is>
      </c>
      <c r="B50" s="3" t="n">
        <v>0.7</v>
      </c>
      <c r="C50" s="3" t="n">
        <v>-5.5</v>
      </c>
      <c r="D50" s="3">
        <f>(B50+C50)/2</f>
        <v/>
      </c>
      <c r="E50" s="3">
        <f>MAX(0,18-D50)</f>
        <v/>
      </c>
    </row>
    <row r="51" ht="15.75" customHeight="1" s="28">
      <c r="A51" s="3" t="inlineStr">
        <is>
          <t>2025-11-12</t>
        </is>
      </c>
      <c r="B51" s="3" t="n">
        <v>-3.6</v>
      </c>
      <c r="C51" s="3" t="n">
        <v>-6.8</v>
      </c>
      <c r="D51" s="3">
        <f>(B51+C51)/2</f>
        <v/>
      </c>
      <c r="E51" s="3">
        <f>MAX(0,18-D51)</f>
        <v/>
      </c>
    </row>
    <row r="52" ht="15.75" customHeight="1" s="28">
      <c r="A52" s="3" t="inlineStr">
        <is>
          <t>2025-11-13</t>
        </is>
      </c>
      <c r="B52" s="3" t="n">
        <v>-1.8</v>
      </c>
      <c r="C52" s="3" t="n">
        <v>-6.3</v>
      </c>
      <c r="D52" s="3">
        <f>(B52+C52)/2</f>
        <v/>
      </c>
      <c r="E52" s="3">
        <f>MAX(0,18-D52)</f>
        <v/>
      </c>
    </row>
    <row r="53" ht="15.75" customHeight="1" s="28">
      <c r="A53" s="3" t="inlineStr">
        <is>
          <t>2025-11-14</t>
        </is>
      </c>
      <c r="B53" s="3" t="n">
        <v>-2.3</v>
      </c>
      <c r="C53" s="3" t="n">
        <v>-6</v>
      </c>
      <c r="D53" s="3">
        <f>(B53+C53)/2</f>
        <v/>
      </c>
      <c r="E53" s="3">
        <f>MAX(0,18-D53)</f>
        <v/>
      </c>
    </row>
    <row r="54" ht="15.75" customHeight="1" s="28">
      <c r="A54" s="3" t="inlineStr">
        <is>
          <t>2025-11-15</t>
        </is>
      </c>
      <c r="B54" s="3" t="n">
        <v>-6</v>
      </c>
      <c r="C54" s="3" t="n">
        <v>-13.4</v>
      </c>
      <c r="D54" s="3">
        <f>(B54+C54)/2</f>
        <v/>
      </c>
      <c r="E54" s="3">
        <f>MAX(0,18-D54)</f>
        <v/>
      </c>
    </row>
    <row r="55" ht="15.75" customHeight="1" s="28">
      <c r="A55" s="3" t="inlineStr">
        <is>
          <t>2025-11-16</t>
        </is>
      </c>
      <c r="B55" s="3" t="n">
        <v>-7.4</v>
      </c>
      <c r="C55" s="3" t="n">
        <v>-13.6</v>
      </c>
      <c r="D55" s="3">
        <f>(B55+C55)/2</f>
        <v/>
      </c>
      <c r="E55" s="3">
        <f>MAX(0,18-D55)</f>
        <v/>
      </c>
    </row>
    <row r="56" ht="15.75" customHeight="1" s="28">
      <c r="A56" s="3" t="inlineStr">
        <is>
          <t>2025-11-17</t>
        </is>
      </c>
      <c r="B56" s="3" t="n">
        <v>-3.7</v>
      </c>
      <c r="C56" s="3" t="n">
        <v>-10.1</v>
      </c>
      <c r="D56" s="3">
        <f>(B56+C56)/2</f>
        <v/>
      </c>
      <c r="E56" s="3">
        <f>MAX(0,18-D56)</f>
        <v/>
      </c>
    </row>
    <row r="57" ht="15.75" customHeight="1" s="28">
      <c r="A57" s="3" t="inlineStr">
        <is>
          <t>2025-11-18</t>
        </is>
      </c>
      <c r="B57" s="3" t="n">
        <v>-6.7</v>
      </c>
      <c r="C57" s="3" t="n">
        <v>-15.6</v>
      </c>
      <c r="D57" s="3">
        <f>(B57+C57)/2</f>
        <v/>
      </c>
      <c r="E57" s="3">
        <f>MAX(0,18-D57)</f>
        <v/>
      </c>
    </row>
    <row r="58" ht="15.75" customHeight="1" s="28">
      <c r="A58" s="3" t="inlineStr">
        <is>
          <t>2025-11-19</t>
        </is>
      </c>
      <c r="B58" s="3" t="n">
        <v>-8.5</v>
      </c>
      <c r="C58" s="3" t="n">
        <v>-18</v>
      </c>
      <c r="D58" s="3">
        <f>(B58+C58)/2</f>
        <v/>
      </c>
      <c r="E58" s="3">
        <f>MAX(0,18-D58)</f>
        <v/>
      </c>
    </row>
    <row r="59" ht="15.75" customHeight="1" s="28">
      <c r="A59" s="3" t="inlineStr">
        <is>
          <t>2025-11-20</t>
        </is>
      </c>
      <c r="B59" s="3" t="n">
        <v>-8.4</v>
      </c>
      <c r="C59" s="3" t="n">
        <v>-9.800000000000001</v>
      </c>
      <c r="D59" s="3">
        <f>(B59+C59)/2</f>
        <v/>
      </c>
      <c r="E59" s="3">
        <f>MAX(0,18-D59)</f>
        <v/>
      </c>
    </row>
    <row r="60" ht="15.75" customHeight="1" s="28">
      <c r="A60" s="8" t="inlineStr">
        <is>
          <t>2025-11-21</t>
        </is>
      </c>
      <c r="B60" s="3" t="n">
        <v>-1.3</v>
      </c>
      <c r="C60" s="3" t="n">
        <v>-9.199999999999999</v>
      </c>
    </row>
    <row r="61" ht="15.75" customHeight="1" s="28">
      <c r="A61" s="3" t="inlineStr">
        <is>
          <t>1. Download weather data from: https://climate.weather.gc.ca/historical_data/search_historic_data_e.html</t>
        </is>
      </c>
    </row>
    <row r="62" ht="15.75" customHeight="1" s="28">
      <c r="A62" s="3" t="inlineStr">
        <is>
          <t>2. Search for 'Fort Smith A' station (ID: 2202201)</t>
        </is>
      </c>
    </row>
    <row r="63" ht="15.75" customHeight="1" s="28">
      <c r="A63" s="3" t="inlineStr">
        <is>
          <t>3. Select Daily data for Sept, Oct, Nov 2025</t>
        </is>
      </c>
    </row>
    <row r="64" ht="15.75" customHeight="1" s="28">
      <c r="A64" s="3" t="inlineStr">
        <is>
          <t>4. Copy Max and Min temps into columns B and C</t>
        </is>
      </c>
    </row>
    <row r="65" ht="15.75" customHeight="1" s="28">
      <c r="A65" s="3" t="inlineStr">
        <is>
          <t>5. Mean Temp and HDD will calculate automatically</t>
        </is>
      </c>
    </row>
    <row r="66" ht="15.75" customHeight="1" s="28"/>
    <row r="67" ht="15.75" customHeight="1" s="28"/>
    <row r="68" ht="15.75" customHeight="1" s="28"/>
    <row r="69" ht="15.75" customHeight="1" s="28"/>
    <row r="70" ht="15.75" customHeight="1" s="28"/>
    <row r="71" ht="15.75" customHeight="1" s="28"/>
    <row r="72" ht="15.75" customHeight="1" s="28"/>
    <row r="73" ht="15.75" customHeight="1" s="28"/>
    <row r="74" ht="15.75" customHeight="1" s="28"/>
    <row r="75" ht="15.75" customHeight="1" s="28"/>
    <row r="76" ht="15.75" customHeight="1" s="28"/>
    <row r="77" ht="15.75" customHeight="1" s="28"/>
    <row r="78" ht="15.75" customHeight="1" s="28"/>
    <row r="79" ht="15.75" customHeight="1" s="28"/>
    <row r="80" ht="15.75" customHeight="1" s="28"/>
    <row r="81" ht="15.75" customHeight="1" s="28"/>
    <row r="82" ht="15.75" customHeight="1" s="28"/>
    <row r="83" ht="15.75" customHeight="1" s="28"/>
    <row r="84" ht="15.75" customHeight="1" s="28"/>
    <row r="85" ht="15.75" customHeight="1" s="28"/>
    <row r="86" ht="15.75" customHeight="1" s="28"/>
    <row r="87" ht="15.75" customHeight="1" s="28"/>
    <row r="88" ht="15.75" customHeight="1" s="28"/>
    <row r="89" ht="15.75" customHeight="1" s="28"/>
    <row r="90" ht="15.75" customHeight="1" s="28"/>
    <row r="91" ht="15.75" customHeight="1" s="28"/>
    <row r="92" ht="15.75" customHeight="1" s="28"/>
    <row r="93" ht="15.75" customHeight="1" s="28"/>
    <row r="94" ht="15.75" customHeight="1" s="28"/>
    <row r="95" ht="15.75" customHeight="1" s="28"/>
    <row r="96" ht="15.75" customHeight="1" s="28"/>
    <row r="97" ht="15.75" customHeight="1" s="28"/>
    <row r="98" ht="15.75" customHeight="1" s="28"/>
    <row r="99" ht="15.75" customHeight="1" s="28"/>
    <row r="100" ht="15.75" customHeight="1" s="28"/>
    <row r="101" ht="15.75" customHeight="1" s="28"/>
    <row r="102" ht="15.75" customHeight="1" s="28"/>
    <row r="103" ht="15.75" customHeight="1" s="28"/>
    <row r="104" ht="15.75" customHeight="1" s="28"/>
    <row r="105" ht="15.75" customHeight="1" s="28"/>
    <row r="106" ht="15.75" customHeight="1" s="28"/>
    <row r="107" ht="15.75" customHeight="1" s="28"/>
    <row r="108" ht="15.75" customHeight="1" s="28"/>
    <row r="109" ht="15.75" customHeight="1" s="28"/>
    <row r="110" ht="15.75" customHeight="1" s="28"/>
    <row r="111" ht="15.75" customHeight="1" s="28"/>
    <row r="112" ht="15.75" customHeight="1" s="28"/>
    <row r="113" ht="15.75" customHeight="1" s="28"/>
    <row r="114" ht="15.75" customHeight="1" s="28"/>
    <row r="115" ht="15.75" customHeight="1" s="28"/>
    <row r="116" ht="15.75" customHeight="1" s="28"/>
    <row r="117" ht="15.75" customHeight="1" s="28"/>
    <row r="118" ht="15.75" customHeight="1" s="28"/>
    <row r="119" ht="15.75" customHeight="1" s="28"/>
    <row r="120" ht="15.75" customHeight="1" s="28"/>
    <row r="121" ht="15.75" customHeight="1" s="28"/>
    <row r="122" ht="15.75" customHeight="1" s="28"/>
    <row r="123" ht="15.75" customHeight="1" s="28"/>
    <row r="124" ht="15.75" customHeight="1" s="28"/>
    <row r="125" ht="15.75" customHeight="1" s="28"/>
    <row r="126" ht="15.75" customHeight="1" s="28"/>
    <row r="127" ht="15.75" customHeight="1" s="28"/>
    <row r="128" ht="15.75" customHeight="1" s="28"/>
    <row r="129" ht="15.75" customHeight="1" s="28"/>
    <row r="130" ht="15.75" customHeight="1" s="28"/>
    <row r="131" ht="15.75" customHeight="1" s="28"/>
    <row r="132" ht="15.75" customHeight="1" s="28"/>
    <row r="133" ht="15.75" customHeight="1" s="28"/>
    <row r="134" ht="15.75" customHeight="1" s="28"/>
    <row r="135" ht="15.75" customHeight="1" s="28"/>
    <row r="136" ht="15.75" customHeight="1" s="28"/>
    <row r="137" ht="15.75" customHeight="1" s="28"/>
    <row r="138" ht="15.75" customHeight="1" s="28"/>
    <row r="139" ht="15.75" customHeight="1" s="28"/>
    <row r="140" ht="15.75" customHeight="1" s="28"/>
    <row r="141" ht="15.75" customHeight="1" s="28"/>
    <row r="142" ht="15.75" customHeight="1" s="28"/>
    <row r="143" ht="15.75" customHeight="1" s="28"/>
    <row r="144" ht="15.75" customHeight="1" s="28"/>
    <row r="145" ht="15.75" customHeight="1" s="28"/>
    <row r="146" ht="15.75" customHeight="1" s="28"/>
    <row r="147" ht="15.75" customHeight="1" s="28"/>
    <row r="148" ht="15.75" customHeight="1" s="28"/>
    <row r="149" ht="15.75" customHeight="1" s="28"/>
    <row r="150" ht="15.75" customHeight="1" s="28"/>
    <row r="151" ht="15.75" customHeight="1" s="28"/>
    <row r="152" ht="15.75" customHeight="1" s="28"/>
    <row r="153" ht="15.75" customHeight="1" s="28"/>
    <row r="154" ht="15.75" customHeight="1" s="28"/>
    <row r="155" ht="15.75" customHeight="1" s="28"/>
    <row r="156" ht="15.75" customHeight="1" s="28"/>
    <row r="157" ht="15.75" customHeight="1" s="28"/>
    <row r="158" ht="15.75" customHeight="1" s="28"/>
    <row r="159" ht="15.75" customHeight="1" s="28"/>
    <row r="160" ht="15.75" customHeight="1" s="28"/>
    <row r="161" ht="15.75" customHeight="1" s="28"/>
    <row r="162" ht="15.75" customHeight="1" s="28"/>
    <row r="163" ht="15.75" customHeight="1" s="28"/>
    <row r="164" ht="15.75" customHeight="1" s="28"/>
    <row r="165" ht="15.75" customHeight="1" s="28"/>
    <row r="166" ht="15.75" customHeight="1" s="28"/>
    <row r="167" ht="15.75" customHeight="1" s="28"/>
    <row r="168" ht="15.75" customHeight="1" s="28"/>
    <row r="169" ht="15.75" customHeight="1" s="28"/>
    <row r="170" ht="15.75" customHeight="1" s="28"/>
    <row r="171" ht="15.75" customHeight="1" s="28"/>
    <row r="172" ht="15.75" customHeight="1" s="28"/>
    <row r="173" ht="15.75" customHeight="1" s="28"/>
    <row r="174" ht="15.75" customHeight="1" s="28"/>
    <row r="175" ht="15.75" customHeight="1" s="28"/>
    <row r="176" ht="15.75" customHeight="1" s="28"/>
    <row r="177" ht="15.75" customHeight="1" s="28"/>
    <row r="178" ht="15.75" customHeight="1" s="28"/>
    <row r="179" ht="15.75" customHeight="1" s="28"/>
    <row r="180" ht="15.75" customHeight="1" s="28"/>
    <row r="181" ht="15.75" customHeight="1" s="28"/>
    <row r="182" ht="15.75" customHeight="1" s="28"/>
    <row r="183" ht="15.75" customHeight="1" s="28"/>
    <row r="184" ht="15.75" customHeight="1" s="28"/>
    <row r="185" ht="15.75" customHeight="1" s="28"/>
    <row r="186" ht="15.75" customHeight="1" s="28"/>
    <row r="187" ht="15.75" customHeight="1" s="28"/>
    <row r="188" ht="15.75" customHeight="1" s="28"/>
    <row r="189" ht="15.75" customHeight="1" s="28"/>
    <row r="190" ht="15.75" customHeight="1" s="28"/>
    <row r="191" ht="15.75" customHeight="1" s="28"/>
    <row r="192" ht="15.75" customHeight="1" s="28"/>
    <row r="193" ht="15.75" customHeight="1" s="28"/>
    <row r="194" ht="15.75" customHeight="1" s="28"/>
    <row r="195" ht="15.75" customHeight="1" s="28"/>
    <row r="196" ht="15.75" customHeight="1" s="28"/>
    <row r="197" ht="15.75" customHeight="1" s="28"/>
    <row r="198" ht="15.75" customHeight="1" s="28"/>
    <row r="199" ht="15.75" customHeight="1" s="28"/>
    <row r="200" ht="15.75" customHeight="1" s="28"/>
    <row r="201" ht="15.75" customHeight="1" s="28"/>
    <row r="202" ht="15.75" customHeight="1" s="28"/>
    <row r="203" ht="15.75" customHeight="1" s="28"/>
    <row r="204" ht="15.75" customHeight="1" s="28"/>
    <row r="205" ht="15.75" customHeight="1" s="28"/>
    <row r="206" ht="15.75" customHeight="1" s="28"/>
    <row r="207" ht="15.75" customHeight="1" s="28"/>
    <row r="208" ht="15.75" customHeight="1" s="28"/>
    <row r="209" ht="15.75" customHeight="1" s="28"/>
    <row r="210" ht="15.75" customHeight="1" s="28"/>
    <row r="211" ht="15.75" customHeight="1" s="28"/>
    <row r="212" ht="15.75" customHeight="1" s="28"/>
    <row r="213" ht="15.75" customHeight="1" s="28"/>
    <row r="214" ht="15.75" customHeight="1" s="28"/>
    <row r="215" ht="15.75" customHeight="1" s="28"/>
    <row r="216" ht="15.75" customHeight="1" s="28"/>
    <row r="217" ht="15.75" customHeight="1" s="28"/>
    <row r="218" ht="15.75" customHeight="1" s="28"/>
    <row r="219" ht="15.75" customHeight="1" s="28"/>
    <row r="220" ht="15.75" customHeight="1" s="28"/>
    <row r="221" ht="15.75" customHeight="1" s="28"/>
    <row r="222" ht="15.75" customHeight="1" s="28"/>
    <row r="223" ht="15.75" customHeight="1" s="28"/>
    <row r="224" ht="15.75" customHeight="1" s="28"/>
    <row r="225" ht="15.75" customHeight="1" s="28"/>
    <row r="226" ht="15.75" customHeight="1" s="28"/>
    <row r="227" ht="15.75" customHeight="1" s="28"/>
    <row r="228" ht="15.75" customHeight="1" s="28"/>
    <row r="229" ht="15.75" customHeight="1" s="28"/>
    <row r="230" ht="15.75" customHeight="1" s="28"/>
    <row r="231" ht="15.75" customHeight="1" s="28"/>
    <row r="232" ht="15.75" customHeight="1" s="28"/>
    <row r="233" ht="15.75" customHeight="1" s="28"/>
    <row r="234" ht="15.75" customHeight="1" s="28"/>
    <row r="235" ht="15.75" customHeight="1" s="28"/>
    <row r="236" ht="15.75" customHeight="1" s="28"/>
    <row r="237" ht="15.75" customHeight="1" s="28"/>
    <row r="238" ht="15.75" customHeight="1" s="28"/>
    <row r="239" ht="15.75" customHeight="1" s="28"/>
    <row r="240" ht="15.75" customHeight="1" s="28"/>
    <row r="241" ht="15.75" customHeight="1" s="28"/>
    <row r="242" ht="15.75" customHeight="1" s="28"/>
    <row r="243" ht="15.75" customHeight="1" s="28"/>
    <row r="244" ht="15.75" customHeight="1" s="28"/>
    <row r="245" ht="15.75" customHeight="1" s="28"/>
    <row r="246" ht="15.75" customHeight="1" s="28"/>
    <row r="247" ht="15.75" customHeight="1" s="28"/>
    <row r="248" ht="15.75" customHeight="1" s="28"/>
    <row r="249" ht="15.75" customHeight="1" s="28"/>
    <row r="250" ht="15.75" customHeight="1" s="28"/>
    <row r="251" ht="15.75" customHeight="1" s="28"/>
    <row r="252" ht="15.75" customHeight="1" s="28"/>
    <row r="253" ht="15.75" customHeight="1" s="28"/>
    <row r="254" ht="15.75" customHeight="1" s="28"/>
    <row r="255" ht="15.75" customHeight="1" s="28"/>
    <row r="256" ht="15.75" customHeight="1" s="28"/>
    <row r="257" ht="15.75" customHeight="1" s="28"/>
    <row r="258" ht="15.75" customHeight="1" s="28"/>
    <row r="259" ht="15.75" customHeight="1" s="28"/>
    <row r="260" ht="15.75" customHeight="1" s="28"/>
    <row r="261" ht="15.75" customHeight="1" s="28"/>
    <row r="262" ht="15.75" customHeight="1" s="28"/>
    <row r="263" ht="15.75" customHeight="1" s="28"/>
    <row r="264" ht="15.75" customHeight="1" s="28"/>
    <row r="265" ht="15.75" customHeight="1" s="28"/>
    <row r="266" ht="15.75" customHeight="1" s="28"/>
    <row r="267" ht="15.75" customHeight="1" s="28"/>
    <row r="268" ht="15.75" customHeight="1" s="28"/>
    <row r="269" ht="15.75" customHeight="1" s="28"/>
    <row r="270" ht="15.75" customHeight="1" s="28"/>
    <row r="271" ht="15.75" customHeight="1" s="28"/>
    <row r="272" ht="15.75" customHeight="1" s="28"/>
    <row r="273" ht="15.75" customHeight="1" s="28"/>
    <row r="274" ht="15.75" customHeight="1" s="28"/>
    <row r="275" ht="15.75" customHeight="1" s="28"/>
    <row r="276" ht="15.75" customHeight="1" s="28"/>
    <row r="277" ht="15.75" customHeight="1" s="28"/>
    <row r="278" ht="15.75" customHeight="1" s="28"/>
    <row r="279" ht="15.75" customHeight="1" s="28"/>
    <row r="280" ht="15.75" customHeight="1" s="28"/>
    <row r="281" ht="15.75" customHeight="1" s="28"/>
    <row r="282" ht="15.75" customHeight="1" s="28"/>
    <row r="283" ht="15.75" customHeight="1" s="28"/>
    <row r="284" ht="15.75" customHeight="1" s="28"/>
    <row r="285" ht="15.75" customHeight="1" s="28"/>
    <row r="286" ht="15.75" customHeight="1" s="28"/>
    <row r="287" ht="15.75" customHeight="1" s="28"/>
    <row r="288" ht="15.75" customHeight="1" s="28"/>
    <row r="289" ht="15.75" customHeight="1" s="28"/>
    <row r="290" ht="15.75" customHeight="1" s="28"/>
    <row r="291" ht="15.75" customHeight="1" s="28"/>
    <row r="292" ht="15.75" customHeight="1" s="28"/>
    <row r="293" ht="15.75" customHeight="1" s="28"/>
    <row r="294" ht="15.75" customHeight="1" s="28"/>
    <row r="295" ht="15.75" customHeight="1" s="28"/>
    <row r="296" ht="15.75" customHeight="1" s="28"/>
    <row r="297" ht="15.75" customHeight="1" s="28"/>
    <row r="298" ht="15.75" customHeight="1" s="28"/>
    <row r="299" ht="15.75" customHeight="1" s="28"/>
    <row r="300" ht="15.75" customHeight="1" s="28"/>
    <row r="301" ht="15.75" customHeight="1" s="28"/>
    <row r="302" ht="15.75" customHeight="1" s="28"/>
    <row r="303" ht="15.75" customHeight="1" s="28"/>
    <row r="304" ht="15.75" customHeight="1" s="28"/>
    <row r="305" ht="15.75" customHeight="1" s="28"/>
    <row r="306" ht="15.75" customHeight="1" s="28"/>
    <row r="307" ht="15.75" customHeight="1" s="28"/>
    <row r="308" ht="15.75" customHeight="1" s="28"/>
    <row r="309" ht="15.75" customHeight="1" s="28"/>
    <row r="310" ht="15.75" customHeight="1" s="28"/>
    <row r="311" ht="15.75" customHeight="1" s="28"/>
    <row r="312" ht="15.75" customHeight="1" s="28"/>
    <row r="313" ht="15.75" customHeight="1" s="28"/>
    <row r="314" ht="15.75" customHeight="1" s="28"/>
    <row r="315" ht="15.75" customHeight="1" s="28"/>
    <row r="316" ht="15.75" customHeight="1" s="28"/>
    <row r="317" ht="15.75" customHeight="1" s="28"/>
    <row r="318" ht="15.75" customHeight="1" s="28"/>
    <row r="319" ht="15.75" customHeight="1" s="28"/>
    <row r="320" ht="15.75" customHeight="1" s="28"/>
    <row r="321" ht="15.75" customHeight="1" s="28"/>
    <row r="322" ht="15.75" customHeight="1" s="28"/>
    <row r="323" ht="15.75" customHeight="1" s="28"/>
    <row r="324" ht="15.75" customHeight="1" s="28"/>
    <row r="325" ht="15.75" customHeight="1" s="28"/>
    <row r="326" ht="15.75" customHeight="1" s="28"/>
    <row r="327" ht="15.75" customHeight="1" s="28"/>
    <row r="328" ht="15.75" customHeight="1" s="28"/>
    <row r="329" ht="15.75" customHeight="1" s="28"/>
    <row r="330" ht="15.75" customHeight="1" s="28"/>
    <row r="331" ht="15.75" customHeight="1" s="28"/>
    <row r="332" ht="15.75" customHeight="1" s="28"/>
    <row r="333" ht="15.75" customHeight="1" s="28"/>
    <row r="334" ht="15.75" customHeight="1" s="28"/>
    <row r="335" ht="15.75" customHeight="1" s="28"/>
    <row r="336" ht="15.75" customHeight="1" s="28"/>
    <row r="337" ht="15.75" customHeight="1" s="28"/>
    <row r="338" ht="15.75" customHeight="1" s="28"/>
    <row r="339" ht="15.75" customHeight="1" s="28"/>
    <row r="340" ht="15.75" customHeight="1" s="28"/>
    <row r="341" ht="15.75" customHeight="1" s="28"/>
    <row r="342" ht="15.75" customHeight="1" s="28"/>
    <row r="343" ht="15.75" customHeight="1" s="28"/>
    <row r="344" ht="15.75" customHeight="1" s="28"/>
    <row r="345" ht="15.75" customHeight="1" s="28"/>
    <row r="346" ht="15.75" customHeight="1" s="28"/>
    <row r="347" ht="15.75" customHeight="1" s="28"/>
    <row r="348" ht="15.75" customHeight="1" s="28"/>
    <row r="349" ht="15.75" customHeight="1" s="28"/>
    <row r="350" ht="15.75" customHeight="1" s="28"/>
    <row r="351" ht="15.75" customHeight="1" s="28"/>
    <row r="352" ht="15.75" customHeight="1" s="28"/>
    <row r="353" ht="15.75" customHeight="1" s="28"/>
    <row r="354" ht="15.75" customHeight="1" s="28"/>
    <row r="355" ht="15.75" customHeight="1" s="28"/>
    <row r="356" ht="15.75" customHeight="1" s="28"/>
    <row r="357" ht="15.75" customHeight="1" s="28"/>
    <row r="358" ht="15.75" customHeight="1" s="28"/>
    <row r="359" ht="15.75" customHeight="1" s="28"/>
    <row r="360" ht="15.75" customHeight="1" s="28"/>
    <row r="361" ht="15.75" customHeight="1" s="28"/>
    <row r="362" ht="15.75" customHeight="1" s="28"/>
    <row r="363" ht="15.75" customHeight="1" s="28"/>
    <row r="364" ht="15.75" customHeight="1" s="28"/>
    <row r="365" ht="15.75" customHeight="1" s="28"/>
    <row r="366" ht="15.75" customHeight="1" s="28"/>
    <row r="367" ht="15.75" customHeight="1" s="28"/>
    <row r="368" ht="15.75" customHeight="1" s="28"/>
    <row r="369" ht="15.75" customHeight="1" s="28"/>
    <row r="370" ht="15.75" customHeight="1" s="28"/>
    <row r="371" ht="15.75" customHeight="1" s="28"/>
    <row r="372" ht="15.75" customHeight="1" s="28"/>
    <row r="373" ht="15.75" customHeight="1" s="28"/>
    <row r="374" ht="15.75" customHeight="1" s="28"/>
    <row r="375" ht="15.75" customHeight="1" s="28"/>
    <row r="376" ht="15.75" customHeight="1" s="28"/>
    <row r="377" ht="15.75" customHeight="1" s="28"/>
    <row r="378" ht="15.75" customHeight="1" s="28"/>
    <row r="379" ht="15.75" customHeight="1" s="28"/>
    <row r="380" ht="15.75" customHeight="1" s="28"/>
    <row r="381" ht="15.75" customHeight="1" s="28"/>
    <row r="382" ht="15.75" customHeight="1" s="28"/>
    <row r="383" ht="15.75" customHeight="1" s="28"/>
    <row r="384" ht="15.75" customHeight="1" s="28"/>
    <row r="385" ht="15.75" customHeight="1" s="28"/>
    <row r="386" ht="15.75" customHeight="1" s="28"/>
    <row r="387" ht="15.75" customHeight="1" s="28"/>
    <row r="388" ht="15.75" customHeight="1" s="28"/>
    <row r="389" ht="15.75" customHeight="1" s="28"/>
    <row r="390" ht="15.75" customHeight="1" s="28"/>
    <row r="391" ht="15.75" customHeight="1" s="28"/>
    <row r="392" ht="15.75" customHeight="1" s="28"/>
    <row r="393" ht="15.75" customHeight="1" s="28"/>
    <row r="394" ht="15.75" customHeight="1" s="28"/>
    <row r="395" ht="15.75" customHeight="1" s="28"/>
    <row r="396" ht="15.75" customHeight="1" s="28"/>
    <row r="397" ht="15.75" customHeight="1" s="28"/>
    <row r="398" ht="15.75" customHeight="1" s="28"/>
    <row r="399" ht="15.75" customHeight="1" s="28"/>
    <row r="400" ht="15.75" customHeight="1" s="28"/>
    <row r="401" ht="15.75" customHeight="1" s="28"/>
    <row r="402" ht="15.75" customHeight="1" s="28"/>
    <row r="403" ht="15.75" customHeight="1" s="28"/>
    <row r="404" ht="15.75" customHeight="1" s="28"/>
    <row r="405" ht="15.75" customHeight="1" s="28"/>
    <row r="406" ht="15.75" customHeight="1" s="28"/>
    <row r="407" ht="15.75" customHeight="1" s="28"/>
    <row r="408" ht="15.75" customHeight="1" s="28"/>
    <row r="409" ht="15.75" customHeight="1" s="28"/>
    <row r="410" ht="15.75" customHeight="1" s="28"/>
    <row r="411" ht="15.75" customHeight="1" s="28"/>
    <row r="412" ht="15.75" customHeight="1" s="28"/>
    <row r="413" ht="15.75" customHeight="1" s="28"/>
    <row r="414" ht="15.75" customHeight="1" s="28"/>
    <row r="415" ht="15.75" customHeight="1" s="28"/>
    <row r="416" ht="15.75" customHeight="1" s="28"/>
    <row r="417" ht="15.75" customHeight="1" s="28"/>
    <row r="418" ht="15.75" customHeight="1" s="28"/>
    <row r="419" ht="15.75" customHeight="1" s="28"/>
    <row r="420" ht="15.75" customHeight="1" s="28"/>
    <row r="421" ht="15.75" customHeight="1" s="28"/>
    <row r="422" ht="15.75" customHeight="1" s="28"/>
    <row r="423" ht="15.75" customHeight="1" s="28"/>
    <row r="424" ht="15.75" customHeight="1" s="28"/>
    <row r="425" ht="15.75" customHeight="1" s="28"/>
    <row r="426" ht="15.75" customHeight="1" s="28"/>
    <row r="427" ht="15.75" customHeight="1" s="28"/>
    <row r="428" ht="15.75" customHeight="1" s="28"/>
    <row r="429" ht="15.75" customHeight="1" s="28"/>
    <row r="430" ht="15.75" customHeight="1" s="28"/>
    <row r="431" ht="15.75" customHeight="1" s="28"/>
    <row r="432" ht="15.75" customHeight="1" s="28"/>
    <row r="433" ht="15.75" customHeight="1" s="28"/>
    <row r="434" ht="15.75" customHeight="1" s="28"/>
    <row r="435" ht="15.75" customHeight="1" s="28"/>
    <row r="436" ht="15.75" customHeight="1" s="28"/>
    <row r="437" ht="15.75" customHeight="1" s="28"/>
    <row r="438" ht="15.75" customHeight="1" s="28"/>
    <row r="439" ht="15.75" customHeight="1" s="28"/>
    <row r="440" ht="15.75" customHeight="1" s="28"/>
    <row r="441" ht="15.75" customHeight="1" s="28"/>
    <row r="442" ht="15.75" customHeight="1" s="28"/>
    <row r="443" ht="15.75" customHeight="1" s="28"/>
    <row r="444" ht="15.75" customHeight="1" s="28"/>
    <row r="445" ht="15.75" customHeight="1" s="28"/>
    <row r="446" ht="15.75" customHeight="1" s="28"/>
    <row r="447" ht="15.75" customHeight="1" s="28"/>
    <row r="448" ht="15.75" customHeight="1" s="28"/>
    <row r="449" ht="15.75" customHeight="1" s="28"/>
    <row r="450" ht="15.75" customHeight="1" s="28"/>
    <row r="451" ht="15.75" customHeight="1" s="28"/>
    <row r="452" ht="15.75" customHeight="1" s="28"/>
    <row r="453" ht="15.75" customHeight="1" s="28"/>
    <row r="454" ht="15.75" customHeight="1" s="28"/>
    <row r="455" ht="15.75" customHeight="1" s="28"/>
    <row r="456" ht="15.75" customHeight="1" s="28"/>
    <row r="457" ht="15.75" customHeight="1" s="28"/>
    <row r="458" ht="15.75" customHeight="1" s="28"/>
    <row r="459" ht="15.75" customHeight="1" s="28"/>
    <row r="460" ht="15.75" customHeight="1" s="28"/>
    <row r="461" ht="15.75" customHeight="1" s="28"/>
    <row r="462" ht="15.75" customHeight="1" s="28"/>
    <row r="463" ht="15.75" customHeight="1" s="28"/>
    <row r="464" ht="15.75" customHeight="1" s="28"/>
    <row r="465" ht="15.75" customHeight="1" s="28"/>
    <row r="466" ht="15.75" customHeight="1" s="28"/>
    <row r="467" ht="15.75" customHeight="1" s="28"/>
    <row r="468" ht="15.75" customHeight="1" s="28"/>
    <row r="469" ht="15.75" customHeight="1" s="28"/>
    <row r="470" ht="15.75" customHeight="1" s="28"/>
    <row r="471" ht="15.75" customHeight="1" s="28"/>
    <row r="472" ht="15.75" customHeight="1" s="28"/>
    <row r="473" ht="15.75" customHeight="1" s="28"/>
    <row r="474" ht="15.75" customHeight="1" s="28"/>
    <row r="475" ht="15.75" customHeight="1" s="28"/>
    <row r="476" ht="15.75" customHeight="1" s="28"/>
    <row r="477" ht="15.75" customHeight="1" s="28"/>
    <row r="478" ht="15.75" customHeight="1" s="28"/>
    <row r="479" ht="15.75" customHeight="1" s="28"/>
    <row r="480" ht="15.75" customHeight="1" s="28"/>
    <row r="481" ht="15.75" customHeight="1" s="28"/>
    <row r="482" ht="15.75" customHeight="1" s="28"/>
    <row r="483" ht="15.75" customHeight="1" s="28"/>
    <row r="484" ht="15.75" customHeight="1" s="28"/>
    <row r="485" ht="15.75" customHeight="1" s="28"/>
    <row r="486" ht="15.75" customHeight="1" s="28"/>
    <row r="487" ht="15.75" customHeight="1" s="28"/>
    <row r="488" ht="15.75" customHeight="1" s="28"/>
    <row r="489" ht="15.75" customHeight="1" s="28"/>
    <row r="490" ht="15.75" customHeight="1" s="28"/>
    <row r="491" ht="15.75" customHeight="1" s="28"/>
    <row r="492" ht="15.75" customHeight="1" s="28"/>
    <row r="493" ht="15.75" customHeight="1" s="28"/>
    <row r="494" ht="15.75" customHeight="1" s="28"/>
    <row r="495" ht="15.75" customHeight="1" s="28"/>
    <row r="496" ht="15.75" customHeight="1" s="28"/>
    <row r="497" ht="15.75" customHeight="1" s="28"/>
    <row r="498" ht="15.75" customHeight="1" s="28"/>
    <row r="499" ht="15.75" customHeight="1" s="28"/>
    <row r="500" ht="15.75" customHeight="1" s="28"/>
    <row r="501" ht="15.75" customHeight="1" s="28"/>
    <row r="502" ht="15.75" customHeight="1" s="28"/>
    <row r="503" ht="15.75" customHeight="1" s="28"/>
    <row r="504" ht="15.75" customHeight="1" s="28"/>
    <row r="505" ht="15.75" customHeight="1" s="28"/>
    <row r="506" ht="15.75" customHeight="1" s="28"/>
    <row r="507" ht="15.75" customHeight="1" s="28"/>
    <row r="508" ht="15.75" customHeight="1" s="28"/>
    <row r="509" ht="15.75" customHeight="1" s="28"/>
    <row r="510" ht="15.75" customHeight="1" s="28"/>
    <row r="511" ht="15.75" customHeight="1" s="28"/>
    <row r="512" ht="15.75" customHeight="1" s="28"/>
    <row r="513" ht="15.75" customHeight="1" s="28"/>
    <row r="514" ht="15.75" customHeight="1" s="28"/>
    <row r="515" ht="15.75" customHeight="1" s="28"/>
    <row r="516" ht="15.75" customHeight="1" s="28"/>
    <row r="517" ht="15.75" customHeight="1" s="28"/>
    <row r="518" ht="15.75" customHeight="1" s="28"/>
    <row r="519" ht="15.75" customHeight="1" s="28"/>
    <row r="520" ht="15.75" customHeight="1" s="28"/>
    <row r="521" ht="15.75" customHeight="1" s="28"/>
    <row r="522" ht="15.75" customHeight="1" s="28"/>
    <row r="523" ht="15.75" customHeight="1" s="28"/>
    <row r="524" ht="15.75" customHeight="1" s="28"/>
    <row r="525" ht="15.75" customHeight="1" s="28"/>
    <row r="526" ht="15.75" customHeight="1" s="28"/>
    <row r="527" ht="15.75" customHeight="1" s="28"/>
    <row r="528" ht="15.75" customHeight="1" s="28"/>
    <row r="529" ht="15.75" customHeight="1" s="28"/>
    <row r="530" ht="15.75" customHeight="1" s="28"/>
    <row r="531" ht="15.75" customHeight="1" s="28"/>
    <row r="532" ht="15.75" customHeight="1" s="28"/>
    <row r="533" ht="15.75" customHeight="1" s="28"/>
    <row r="534" ht="15.75" customHeight="1" s="28"/>
    <row r="535" ht="15.75" customHeight="1" s="28"/>
    <row r="536" ht="15.75" customHeight="1" s="28"/>
    <row r="537" ht="15.75" customHeight="1" s="28"/>
    <row r="538" ht="15.75" customHeight="1" s="28"/>
    <row r="539" ht="15.75" customHeight="1" s="28"/>
    <row r="540" ht="15.75" customHeight="1" s="28"/>
    <row r="541" ht="15.75" customHeight="1" s="28"/>
    <row r="542" ht="15.75" customHeight="1" s="28"/>
    <row r="543" ht="15.75" customHeight="1" s="28"/>
    <row r="544" ht="15.75" customHeight="1" s="28"/>
    <row r="545" ht="15.75" customHeight="1" s="28"/>
    <row r="546" ht="15.75" customHeight="1" s="28"/>
    <row r="547" ht="15.75" customHeight="1" s="28"/>
    <row r="548" ht="15.75" customHeight="1" s="28"/>
    <row r="549" ht="15.75" customHeight="1" s="28"/>
    <row r="550" ht="15.75" customHeight="1" s="28"/>
    <row r="551" ht="15.75" customHeight="1" s="28"/>
    <row r="552" ht="15.75" customHeight="1" s="28"/>
    <row r="553" ht="15.75" customHeight="1" s="28"/>
    <row r="554" ht="15.75" customHeight="1" s="28"/>
    <row r="555" ht="15.75" customHeight="1" s="28"/>
    <row r="556" ht="15.75" customHeight="1" s="28"/>
    <row r="557" ht="15.75" customHeight="1" s="28"/>
    <row r="558" ht="15.75" customHeight="1" s="28"/>
    <row r="559" ht="15.75" customHeight="1" s="28"/>
    <row r="560" ht="15.75" customHeight="1" s="28"/>
    <row r="561" ht="15.75" customHeight="1" s="28"/>
    <row r="562" ht="15.75" customHeight="1" s="28"/>
    <row r="563" ht="15.75" customHeight="1" s="28"/>
    <row r="564" ht="15.75" customHeight="1" s="28"/>
    <row r="565" ht="15.75" customHeight="1" s="28"/>
    <row r="566" ht="15.75" customHeight="1" s="28"/>
    <row r="567" ht="15.75" customHeight="1" s="28"/>
    <row r="568" ht="15.75" customHeight="1" s="28"/>
    <row r="569" ht="15.75" customHeight="1" s="28"/>
    <row r="570" ht="15.75" customHeight="1" s="28"/>
    <row r="571" ht="15.75" customHeight="1" s="28"/>
    <row r="572" ht="15.75" customHeight="1" s="28"/>
    <row r="573" ht="15.75" customHeight="1" s="28"/>
    <row r="574" ht="15.75" customHeight="1" s="28"/>
    <row r="575" ht="15.75" customHeight="1" s="28"/>
    <row r="576" ht="15.75" customHeight="1" s="28"/>
    <row r="577" ht="15.75" customHeight="1" s="28"/>
    <row r="578" ht="15.75" customHeight="1" s="28"/>
    <row r="579" ht="15.75" customHeight="1" s="28"/>
    <row r="580" ht="15.75" customHeight="1" s="28"/>
    <row r="581" ht="15.75" customHeight="1" s="28"/>
    <row r="582" ht="15.75" customHeight="1" s="28"/>
    <row r="583" ht="15.75" customHeight="1" s="28"/>
    <row r="584" ht="15.75" customHeight="1" s="28"/>
    <row r="585" ht="15.75" customHeight="1" s="28"/>
    <row r="586" ht="15.75" customHeight="1" s="28"/>
    <row r="587" ht="15.75" customHeight="1" s="28"/>
    <row r="588" ht="15.75" customHeight="1" s="28"/>
    <row r="589" ht="15.75" customHeight="1" s="28"/>
    <row r="590" ht="15.75" customHeight="1" s="28"/>
    <row r="591" ht="15.75" customHeight="1" s="28"/>
    <row r="592" ht="15.75" customHeight="1" s="28"/>
    <row r="593" ht="15.75" customHeight="1" s="28"/>
    <row r="594" ht="15.75" customHeight="1" s="28"/>
    <row r="595" ht="15.75" customHeight="1" s="28"/>
    <row r="596" ht="15.75" customHeight="1" s="28"/>
    <row r="597" ht="15.75" customHeight="1" s="28"/>
    <row r="598" ht="15.75" customHeight="1" s="28"/>
    <row r="599" ht="15.75" customHeight="1" s="28"/>
    <row r="600" ht="15.75" customHeight="1" s="28"/>
    <row r="601" ht="15.75" customHeight="1" s="28"/>
    <row r="602" ht="15.75" customHeight="1" s="28"/>
    <row r="603" ht="15.75" customHeight="1" s="28"/>
    <row r="604" ht="15.75" customHeight="1" s="28"/>
    <row r="605" ht="15.75" customHeight="1" s="28"/>
    <row r="606" ht="15.75" customHeight="1" s="28"/>
    <row r="607" ht="15.75" customHeight="1" s="28"/>
    <row r="608" ht="15.75" customHeight="1" s="28"/>
    <row r="609" ht="15.75" customHeight="1" s="28"/>
    <row r="610" ht="15.75" customHeight="1" s="28"/>
    <row r="611" ht="15.75" customHeight="1" s="28"/>
    <row r="612" ht="15.75" customHeight="1" s="28"/>
    <row r="613" ht="15.75" customHeight="1" s="28"/>
    <row r="614" ht="15.75" customHeight="1" s="28"/>
    <row r="615" ht="15.75" customHeight="1" s="28"/>
    <row r="616" ht="15.75" customHeight="1" s="28"/>
    <row r="617" ht="15.75" customHeight="1" s="28"/>
    <row r="618" ht="15.75" customHeight="1" s="28"/>
    <row r="619" ht="15.75" customHeight="1" s="28"/>
    <row r="620" ht="15.75" customHeight="1" s="28"/>
    <row r="621" ht="15.75" customHeight="1" s="28"/>
    <row r="622" ht="15.75" customHeight="1" s="28"/>
    <row r="623" ht="15.75" customHeight="1" s="28"/>
    <row r="624" ht="15.75" customHeight="1" s="28"/>
    <row r="625" ht="15.75" customHeight="1" s="28"/>
    <row r="626" ht="15.75" customHeight="1" s="28"/>
    <row r="627" ht="15.75" customHeight="1" s="28"/>
    <row r="628" ht="15.75" customHeight="1" s="28"/>
    <row r="629" ht="15.75" customHeight="1" s="28"/>
    <row r="630" ht="15.75" customHeight="1" s="28"/>
    <row r="631" ht="15.75" customHeight="1" s="28"/>
    <row r="632" ht="15.75" customHeight="1" s="28"/>
    <row r="633" ht="15.75" customHeight="1" s="28"/>
    <row r="634" ht="15.75" customHeight="1" s="28"/>
    <row r="635" ht="15.75" customHeight="1" s="28"/>
    <row r="636" ht="15.75" customHeight="1" s="28"/>
    <row r="637" ht="15.75" customHeight="1" s="28"/>
    <row r="638" ht="15.75" customHeight="1" s="28"/>
    <row r="639" ht="15.75" customHeight="1" s="28"/>
    <row r="640" ht="15.75" customHeight="1" s="28"/>
    <row r="641" ht="15.75" customHeight="1" s="28"/>
    <row r="642" ht="15.75" customHeight="1" s="28"/>
    <row r="643" ht="15.75" customHeight="1" s="28"/>
    <row r="644" ht="15.75" customHeight="1" s="28"/>
    <row r="645" ht="15.75" customHeight="1" s="28"/>
    <row r="646" ht="15.75" customHeight="1" s="28"/>
    <row r="647" ht="15.75" customHeight="1" s="28"/>
    <row r="648" ht="15.75" customHeight="1" s="28"/>
    <row r="649" ht="15.75" customHeight="1" s="28"/>
    <row r="650" ht="15.75" customHeight="1" s="28"/>
    <row r="651" ht="15.75" customHeight="1" s="28"/>
    <row r="652" ht="15.75" customHeight="1" s="28"/>
    <row r="653" ht="15.75" customHeight="1" s="28"/>
    <row r="654" ht="15.75" customHeight="1" s="28"/>
    <row r="655" ht="15.75" customHeight="1" s="28"/>
    <row r="656" ht="15.75" customHeight="1" s="28"/>
    <row r="657" ht="15.75" customHeight="1" s="28"/>
    <row r="658" ht="15.75" customHeight="1" s="28"/>
    <row r="659" ht="15.75" customHeight="1" s="28"/>
    <row r="660" ht="15.75" customHeight="1" s="28"/>
    <row r="661" ht="15.75" customHeight="1" s="28"/>
    <row r="662" ht="15.75" customHeight="1" s="28"/>
    <row r="663" ht="15.75" customHeight="1" s="28"/>
    <row r="664" ht="15.75" customHeight="1" s="28"/>
    <row r="665" ht="15.75" customHeight="1" s="28"/>
    <row r="666" ht="15.75" customHeight="1" s="28"/>
    <row r="667" ht="15.75" customHeight="1" s="28"/>
    <row r="668" ht="15.75" customHeight="1" s="28"/>
    <row r="669" ht="15.75" customHeight="1" s="28"/>
    <row r="670" ht="15.75" customHeight="1" s="28"/>
    <row r="671" ht="15.75" customHeight="1" s="28"/>
    <row r="672" ht="15.75" customHeight="1" s="28"/>
    <row r="673" ht="15.75" customHeight="1" s="28"/>
    <row r="674" ht="15.75" customHeight="1" s="28"/>
    <row r="675" ht="15.75" customHeight="1" s="28"/>
    <row r="676" ht="15.75" customHeight="1" s="28"/>
    <row r="677" ht="15.75" customHeight="1" s="28"/>
    <row r="678" ht="15.75" customHeight="1" s="28"/>
    <row r="679" ht="15.75" customHeight="1" s="28"/>
    <row r="680" ht="15.75" customHeight="1" s="28"/>
    <row r="681" ht="15.75" customHeight="1" s="28"/>
    <row r="682" ht="15.75" customHeight="1" s="28"/>
    <row r="683" ht="15.75" customHeight="1" s="28"/>
    <row r="684" ht="15.75" customHeight="1" s="28"/>
    <row r="685" ht="15.75" customHeight="1" s="28"/>
    <row r="686" ht="15.75" customHeight="1" s="28"/>
    <row r="687" ht="15.75" customHeight="1" s="28"/>
    <row r="688" ht="15.75" customHeight="1" s="28"/>
    <row r="689" ht="15.75" customHeight="1" s="28"/>
    <row r="690" ht="15.75" customHeight="1" s="28"/>
    <row r="691" ht="15.75" customHeight="1" s="28"/>
    <row r="692" ht="15.75" customHeight="1" s="28"/>
    <row r="693" ht="15.75" customHeight="1" s="28"/>
    <row r="694" ht="15.75" customHeight="1" s="28"/>
    <row r="695" ht="15.75" customHeight="1" s="28"/>
    <row r="696" ht="15.75" customHeight="1" s="28"/>
    <row r="697" ht="15.75" customHeight="1" s="28"/>
    <row r="698" ht="15.75" customHeight="1" s="28"/>
    <row r="699" ht="15.75" customHeight="1" s="28"/>
    <row r="700" ht="15.75" customHeight="1" s="28"/>
    <row r="701" ht="15.75" customHeight="1" s="28"/>
    <row r="702" ht="15.75" customHeight="1" s="28"/>
    <row r="703" ht="15.75" customHeight="1" s="28"/>
    <row r="704" ht="15.75" customHeight="1" s="28"/>
    <row r="705" ht="15.75" customHeight="1" s="28"/>
    <row r="706" ht="15.75" customHeight="1" s="28"/>
    <row r="707" ht="15.75" customHeight="1" s="28"/>
    <row r="708" ht="15.75" customHeight="1" s="28"/>
    <row r="709" ht="15.75" customHeight="1" s="28"/>
    <row r="710" ht="15.75" customHeight="1" s="28"/>
    <row r="711" ht="15.75" customHeight="1" s="28"/>
    <row r="712" ht="15.75" customHeight="1" s="28"/>
    <row r="713" ht="15.75" customHeight="1" s="28"/>
    <row r="714" ht="15.75" customHeight="1" s="28"/>
    <row r="715" ht="15.75" customHeight="1" s="28"/>
    <row r="716" ht="15.75" customHeight="1" s="28"/>
    <row r="717" ht="15.75" customHeight="1" s="28"/>
    <row r="718" ht="15.75" customHeight="1" s="28"/>
    <row r="719" ht="15.75" customHeight="1" s="28"/>
    <row r="720" ht="15.75" customHeight="1" s="28"/>
    <row r="721" ht="15.75" customHeight="1" s="28"/>
    <row r="722" ht="15.75" customHeight="1" s="28"/>
    <row r="723" ht="15.75" customHeight="1" s="28"/>
    <row r="724" ht="15.75" customHeight="1" s="28"/>
    <row r="725" ht="15.75" customHeight="1" s="28"/>
    <row r="726" ht="15.75" customHeight="1" s="28"/>
    <row r="727" ht="15.75" customHeight="1" s="28"/>
    <row r="728" ht="15.75" customHeight="1" s="28"/>
    <row r="729" ht="15.75" customHeight="1" s="28"/>
    <row r="730" ht="15.75" customHeight="1" s="28"/>
    <row r="731" ht="15.75" customHeight="1" s="28"/>
    <row r="732" ht="15.75" customHeight="1" s="28"/>
    <row r="733" ht="15.75" customHeight="1" s="28"/>
    <row r="734" ht="15.75" customHeight="1" s="28"/>
    <row r="735" ht="15.75" customHeight="1" s="28"/>
    <row r="736" ht="15.75" customHeight="1" s="28"/>
    <row r="737" ht="15.75" customHeight="1" s="28"/>
    <row r="738" ht="15.75" customHeight="1" s="28"/>
    <row r="739" ht="15.75" customHeight="1" s="28"/>
    <row r="740" ht="15.75" customHeight="1" s="28"/>
    <row r="741" ht="15.75" customHeight="1" s="28"/>
    <row r="742" ht="15.75" customHeight="1" s="28"/>
    <row r="743" ht="15.75" customHeight="1" s="28"/>
    <row r="744" ht="15.75" customHeight="1" s="28"/>
    <row r="745" ht="15.75" customHeight="1" s="28"/>
    <row r="746" ht="15.75" customHeight="1" s="28"/>
    <row r="747" ht="15.75" customHeight="1" s="28"/>
    <row r="748" ht="15.75" customHeight="1" s="28"/>
    <row r="749" ht="15.75" customHeight="1" s="28"/>
    <row r="750" ht="15.75" customHeight="1" s="28"/>
    <row r="751" ht="15.75" customHeight="1" s="28"/>
    <row r="752" ht="15.75" customHeight="1" s="28"/>
    <row r="753" ht="15.75" customHeight="1" s="28"/>
    <row r="754" ht="15.75" customHeight="1" s="28"/>
    <row r="755" ht="15.75" customHeight="1" s="28"/>
    <row r="756" ht="15.75" customHeight="1" s="28"/>
    <row r="757" ht="15.75" customHeight="1" s="28"/>
    <row r="758" ht="15.75" customHeight="1" s="28"/>
    <row r="759" ht="15.75" customHeight="1" s="28"/>
    <row r="760" ht="15.75" customHeight="1" s="28"/>
    <row r="761" ht="15.75" customHeight="1" s="28"/>
    <row r="762" ht="15.75" customHeight="1" s="28"/>
    <row r="763" ht="15.75" customHeight="1" s="28"/>
    <row r="764" ht="15.75" customHeight="1" s="28"/>
    <row r="765" ht="15.75" customHeight="1" s="28"/>
    <row r="766" ht="15.75" customHeight="1" s="28"/>
    <row r="767" ht="15.75" customHeight="1" s="28"/>
    <row r="768" ht="15.75" customHeight="1" s="28"/>
    <row r="769" ht="15.75" customHeight="1" s="28"/>
    <row r="770" ht="15.75" customHeight="1" s="28"/>
    <row r="771" ht="15.75" customHeight="1" s="28"/>
    <row r="772" ht="15.75" customHeight="1" s="28"/>
    <row r="773" ht="15.75" customHeight="1" s="28"/>
    <row r="774" ht="15.75" customHeight="1" s="28"/>
    <row r="775" ht="15.75" customHeight="1" s="28"/>
    <row r="776" ht="15.75" customHeight="1" s="28"/>
    <row r="777" ht="15.75" customHeight="1" s="28"/>
    <row r="778" ht="15.75" customHeight="1" s="28"/>
    <row r="779" ht="15.75" customHeight="1" s="28"/>
    <row r="780" ht="15.75" customHeight="1" s="28"/>
    <row r="781" ht="15.75" customHeight="1" s="28"/>
    <row r="782" ht="15.75" customHeight="1" s="28"/>
    <row r="783" ht="15.75" customHeight="1" s="28"/>
    <row r="784" ht="15.75" customHeight="1" s="28"/>
    <row r="785" ht="15.75" customHeight="1" s="28"/>
    <row r="786" ht="15.75" customHeight="1" s="28"/>
    <row r="787" ht="15.75" customHeight="1" s="28"/>
    <row r="788" ht="15.75" customHeight="1" s="28"/>
    <row r="789" ht="15.75" customHeight="1" s="28"/>
    <row r="790" ht="15.75" customHeight="1" s="28"/>
    <row r="791" ht="15.75" customHeight="1" s="28"/>
    <row r="792" ht="15.75" customHeight="1" s="28"/>
    <row r="793" ht="15.75" customHeight="1" s="28"/>
    <row r="794" ht="15.75" customHeight="1" s="28"/>
    <row r="795" ht="15.75" customHeight="1" s="28"/>
    <row r="796" ht="15.75" customHeight="1" s="28"/>
    <row r="797" ht="15.75" customHeight="1" s="28"/>
    <row r="798" ht="15.75" customHeight="1" s="28"/>
    <row r="799" ht="15.75" customHeight="1" s="28"/>
    <row r="800" ht="15.75" customHeight="1" s="28"/>
    <row r="801" ht="15.75" customHeight="1" s="28"/>
    <row r="802" ht="15.75" customHeight="1" s="28"/>
    <row r="803" ht="15.75" customHeight="1" s="28"/>
    <row r="804" ht="15.75" customHeight="1" s="28"/>
    <row r="805" ht="15.75" customHeight="1" s="28"/>
    <row r="806" ht="15.75" customHeight="1" s="28"/>
    <row r="807" ht="15.75" customHeight="1" s="28"/>
    <row r="808" ht="15.75" customHeight="1" s="28"/>
    <row r="809" ht="15.75" customHeight="1" s="28"/>
    <row r="810" ht="15.75" customHeight="1" s="28"/>
    <row r="811" ht="15.75" customHeight="1" s="28"/>
    <row r="812" ht="15.75" customHeight="1" s="28"/>
    <row r="813" ht="15.75" customHeight="1" s="28"/>
    <row r="814" ht="15.75" customHeight="1" s="28"/>
    <row r="815" ht="15.75" customHeight="1" s="28"/>
    <row r="816" ht="15.75" customHeight="1" s="28"/>
    <row r="817" ht="15.75" customHeight="1" s="28"/>
    <row r="818" ht="15.75" customHeight="1" s="28"/>
    <row r="819" ht="15.75" customHeight="1" s="28"/>
    <row r="820" ht="15.75" customHeight="1" s="28"/>
    <row r="821" ht="15.75" customHeight="1" s="28"/>
    <row r="822" ht="15.75" customHeight="1" s="28"/>
    <row r="823" ht="15.75" customHeight="1" s="28"/>
    <row r="824" ht="15.75" customHeight="1" s="28"/>
    <row r="825" ht="15.75" customHeight="1" s="28"/>
    <row r="826" ht="15.75" customHeight="1" s="28"/>
    <row r="827" ht="15.75" customHeight="1" s="28"/>
    <row r="828" ht="15.75" customHeight="1" s="28"/>
    <row r="829" ht="15.75" customHeight="1" s="28"/>
    <row r="830" ht="15.75" customHeight="1" s="28"/>
    <row r="831" ht="15.75" customHeight="1" s="28"/>
    <row r="832" ht="15.75" customHeight="1" s="28"/>
    <row r="833" ht="15.75" customHeight="1" s="28"/>
    <row r="834" ht="15.75" customHeight="1" s="28"/>
    <row r="835" ht="15.75" customHeight="1" s="28"/>
    <row r="836" ht="15.75" customHeight="1" s="28"/>
    <row r="837" ht="15.75" customHeight="1" s="28"/>
    <row r="838" ht="15.75" customHeight="1" s="28"/>
    <row r="839" ht="15.75" customHeight="1" s="28"/>
    <row r="840" ht="15.75" customHeight="1" s="28"/>
    <row r="841" ht="15.75" customHeight="1" s="28"/>
    <row r="842" ht="15.75" customHeight="1" s="28"/>
    <row r="843" ht="15.75" customHeight="1" s="28"/>
    <row r="844" ht="15.75" customHeight="1" s="28"/>
    <row r="845" ht="15.75" customHeight="1" s="28"/>
    <row r="846" ht="15.75" customHeight="1" s="28"/>
    <row r="847" ht="15.75" customHeight="1" s="28"/>
    <row r="848" ht="15.75" customHeight="1" s="28"/>
    <row r="849" ht="15.75" customHeight="1" s="28"/>
    <row r="850" ht="15.75" customHeight="1" s="28"/>
    <row r="851" ht="15.75" customHeight="1" s="28"/>
    <row r="852" ht="15.75" customHeight="1" s="28"/>
    <row r="853" ht="15.75" customHeight="1" s="28"/>
    <row r="854" ht="15.75" customHeight="1" s="28"/>
    <row r="855" ht="15.75" customHeight="1" s="28"/>
    <row r="856" ht="15.75" customHeight="1" s="28"/>
    <row r="857" ht="15.75" customHeight="1" s="28"/>
    <row r="858" ht="15.75" customHeight="1" s="28"/>
    <row r="859" ht="15.75" customHeight="1" s="28"/>
    <row r="860" ht="15.75" customHeight="1" s="28"/>
    <row r="861" ht="15.75" customHeight="1" s="28"/>
    <row r="862" ht="15.75" customHeight="1" s="28"/>
    <row r="863" ht="15.75" customHeight="1" s="28"/>
    <row r="864" ht="15.75" customHeight="1" s="28"/>
    <row r="865" ht="15.75" customHeight="1" s="28"/>
    <row r="866" ht="15.75" customHeight="1" s="28"/>
    <row r="867" ht="15.75" customHeight="1" s="28"/>
    <row r="868" ht="15.75" customHeight="1" s="28"/>
    <row r="869" ht="15.75" customHeight="1" s="28"/>
    <row r="870" ht="15.75" customHeight="1" s="28"/>
    <row r="871" ht="15.75" customHeight="1" s="28"/>
    <row r="872" ht="15.75" customHeight="1" s="28"/>
    <row r="873" ht="15.75" customHeight="1" s="28"/>
    <row r="874" ht="15.75" customHeight="1" s="28"/>
    <row r="875" ht="15.75" customHeight="1" s="28"/>
    <row r="876" ht="15.75" customHeight="1" s="28"/>
    <row r="877" ht="15.75" customHeight="1" s="28"/>
    <row r="878" ht="15.75" customHeight="1" s="28"/>
    <row r="879" ht="15.75" customHeight="1" s="28"/>
    <row r="880" ht="15.75" customHeight="1" s="28"/>
    <row r="881" ht="15.75" customHeight="1" s="28"/>
    <row r="882" ht="15.75" customHeight="1" s="28"/>
    <row r="883" ht="15.75" customHeight="1" s="28"/>
    <row r="884" ht="15.75" customHeight="1" s="28"/>
    <row r="885" ht="15.75" customHeight="1" s="28"/>
    <row r="886" ht="15.75" customHeight="1" s="28"/>
    <row r="887" ht="15.75" customHeight="1" s="28"/>
    <row r="888" ht="15.75" customHeight="1" s="28"/>
    <row r="889" ht="15.75" customHeight="1" s="28"/>
    <row r="890" ht="15.75" customHeight="1" s="28"/>
    <row r="891" ht="15.75" customHeight="1" s="28"/>
    <row r="892" ht="15.75" customHeight="1" s="28"/>
    <row r="893" ht="15.75" customHeight="1" s="28"/>
    <row r="894" ht="15.75" customHeight="1" s="28"/>
    <row r="895" ht="15.75" customHeight="1" s="28"/>
    <row r="896" ht="15.75" customHeight="1" s="28"/>
    <row r="897" ht="15.75" customHeight="1" s="28"/>
    <row r="898" ht="15.75" customHeight="1" s="28"/>
    <row r="899" ht="15.75" customHeight="1" s="28"/>
    <row r="900" ht="15.75" customHeight="1" s="28"/>
    <row r="901" ht="15.75" customHeight="1" s="28"/>
    <row r="902" ht="15.75" customHeight="1" s="28"/>
    <row r="903" ht="15.75" customHeight="1" s="28"/>
    <row r="904" ht="15.75" customHeight="1" s="28"/>
    <row r="905" ht="15.75" customHeight="1" s="28"/>
    <row r="906" ht="15.75" customHeight="1" s="28"/>
    <row r="907" ht="15.75" customHeight="1" s="28"/>
    <row r="908" ht="15.75" customHeight="1" s="28"/>
    <row r="909" ht="15.75" customHeight="1" s="28"/>
    <row r="910" ht="15.75" customHeight="1" s="28"/>
    <row r="911" ht="15.75" customHeight="1" s="28"/>
    <row r="912" ht="15.75" customHeight="1" s="28"/>
    <row r="913" ht="15.75" customHeight="1" s="28"/>
    <row r="914" ht="15.75" customHeight="1" s="28"/>
    <row r="915" ht="15.75" customHeight="1" s="28"/>
    <row r="916" ht="15.75" customHeight="1" s="28"/>
    <row r="917" ht="15.75" customHeight="1" s="28"/>
    <row r="918" ht="15.75" customHeight="1" s="28"/>
    <row r="919" ht="15.75" customHeight="1" s="28"/>
    <row r="920" ht="15.75" customHeight="1" s="28"/>
    <row r="921" ht="15.75" customHeight="1" s="28"/>
    <row r="922" ht="15.75" customHeight="1" s="28"/>
    <row r="923" ht="15.75" customHeight="1" s="28"/>
    <row r="924" ht="15.75" customHeight="1" s="28"/>
    <row r="925" ht="15.75" customHeight="1" s="28"/>
    <row r="926" ht="15.75" customHeight="1" s="28"/>
    <row r="927" ht="15.75" customHeight="1" s="28"/>
    <row r="928" ht="15.75" customHeight="1" s="28"/>
    <row r="929" ht="15.75" customHeight="1" s="28"/>
    <row r="930" ht="15.75" customHeight="1" s="28"/>
    <row r="931" ht="15.75" customHeight="1" s="28"/>
    <row r="932" ht="15.75" customHeight="1" s="28"/>
    <row r="933" ht="15.75" customHeight="1" s="28"/>
    <row r="934" ht="15.75" customHeight="1" s="28"/>
    <row r="935" ht="15.75" customHeight="1" s="28"/>
    <row r="936" ht="15.75" customHeight="1" s="28"/>
    <row r="937" ht="15.75" customHeight="1" s="28"/>
    <row r="938" ht="15.75" customHeight="1" s="28"/>
    <row r="939" ht="15.75" customHeight="1" s="28"/>
    <row r="940" ht="15.75" customHeight="1" s="28"/>
    <row r="941" ht="15.75" customHeight="1" s="28"/>
    <row r="942" ht="15.75" customHeight="1" s="28"/>
    <row r="943" ht="15.75" customHeight="1" s="28"/>
    <row r="944" ht="15.75" customHeight="1" s="28"/>
    <row r="945" ht="15.75" customHeight="1" s="28"/>
    <row r="946" ht="15.75" customHeight="1" s="28"/>
    <row r="947" ht="15.75" customHeight="1" s="28"/>
    <row r="948" ht="15.75" customHeight="1" s="28"/>
    <row r="949" ht="15.75" customHeight="1" s="28"/>
    <row r="950" ht="15.75" customHeight="1" s="28"/>
    <row r="951" ht="15.75" customHeight="1" s="28"/>
    <row r="952" ht="15.75" customHeight="1" s="28"/>
    <row r="953" ht="15.75" customHeight="1" s="28"/>
    <row r="954" ht="15.75" customHeight="1" s="28"/>
    <row r="955" ht="15.75" customHeight="1" s="28"/>
    <row r="956" ht="15.75" customHeight="1" s="28"/>
    <row r="957" ht="15.75" customHeight="1" s="28"/>
    <row r="958" ht="15.75" customHeight="1" s="28"/>
    <row r="959" ht="15.75" customHeight="1" s="28"/>
    <row r="960" ht="15.75" customHeight="1" s="28"/>
    <row r="961" ht="15.75" customHeight="1" s="28"/>
    <row r="962" ht="15.75" customHeight="1" s="28"/>
    <row r="963" ht="15.75" customHeight="1" s="28"/>
    <row r="964" ht="15.75" customHeight="1" s="28"/>
    <row r="965" ht="15.75" customHeight="1" s="28"/>
    <row r="966" ht="15.75" customHeight="1" s="28"/>
    <row r="967" ht="15.75" customHeight="1" s="28"/>
    <row r="968" ht="15.75" customHeight="1" s="28"/>
    <row r="969" ht="15.75" customHeight="1" s="28"/>
    <row r="970" ht="15.75" customHeight="1" s="28"/>
    <row r="971" ht="15.75" customHeight="1" s="28"/>
    <row r="972" ht="15.75" customHeight="1" s="28"/>
    <row r="973" ht="15.75" customHeight="1" s="28"/>
    <row r="974" ht="15.75" customHeight="1" s="28"/>
    <row r="975" ht="15.75" customHeight="1" s="28"/>
    <row r="976" ht="15.75" customHeight="1" s="28"/>
    <row r="977" ht="15.75" customHeight="1" s="28"/>
    <row r="978" ht="15.75" customHeight="1" s="28"/>
    <row r="979" ht="15.75" customHeight="1" s="28"/>
    <row r="980" ht="15.75" customHeight="1" s="28"/>
    <row r="981" ht="15.75" customHeight="1" s="28"/>
    <row r="982" ht="15.75" customHeight="1" s="28"/>
    <row r="983" ht="15.75" customHeight="1" s="28"/>
    <row r="984" ht="15.75" customHeight="1" s="28"/>
    <row r="985" ht="15.75" customHeight="1" s="28"/>
    <row r="986" ht="15.75" customHeight="1" s="28"/>
    <row r="987" ht="15.75" customHeight="1" s="28"/>
    <row r="988" ht="15.75" customHeight="1" s="28"/>
    <row r="989" ht="15.75" customHeight="1" s="28"/>
    <row r="990" ht="15.75" customHeight="1" s="28"/>
    <row r="991" ht="15.75" customHeight="1" s="28"/>
    <row r="992" ht="15.75" customHeight="1" s="28"/>
    <row r="993" ht="15.75" customHeight="1" s="28"/>
    <row r="994" ht="15.75" customHeight="1" s="28"/>
    <row r="995" ht="15.75" customHeight="1" s="28"/>
    <row r="996" ht="15.75" customHeight="1" s="28"/>
    <row r="997" ht="15.75" customHeight="1" s="28"/>
    <row r="998" ht="15.75" customHeight="1" s="28"/>
    <row r="999" ht="15.75" customHeight="1" s="28"/>
    <row r="1000" ht="15.75" customHeight="1" s="28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28" min="1" max="1"/>
    <col width="15" customWidth="1" style="28" min="2" max="2"/>
    <col width="10" customWidth="1" style="28" min="3" max="3"/>
    <col width="8.710000000000001" customWidth="1" style="28" min="4" max="26"/>
  </cols>
  <sheetData>
    <row r="1">
      <c r="A1" s="29" t="inlineStr">
        <is>
          <t>FUEL CONSUMPTION ANALYSIS</t>
        </is>
      </c>
    </row>
    <row r="3">
      <c r="A3" s="12" t="inlineStr">
        <is>
          <t>Analysis Period:</t>
        </is>
      </c>
      <c r="B3" s="3" t="inlineStr">
        <is>
          <t>Sept 24 - Nov 21, 2025</t>
        </is>
      </c>
    </row>
    <row r="4">
      <c r="A4" s="12" t="inlineStr">
        <is>
          <t>Days:</t>
        </is>
      </c>
      <c r="B4" s="3" t="n">
        <v>58</v>
      </c>
    </row>
    <row r="6">
      <c r="A6" s="13" t="inlineStr">
        <is>
          <t>FUEL CONSUMPTION</t>
        </is>
      </c>
    </row>
    <row r="7">
      <c r="A7" s="3" t="inlineStr">
        <is>
          <t>Total Liters Used:</t>
        </is>
      </c>
      <c r="B7" s="3" t="n">
        <v>425</v>
      </c>
      <c r="C7" s="3" t="inlineStr">
        <is>
          <t>L</t>
        </is>
      </c>
    </row>
    <row r="8">
      <c r="A8" s="3" t="inlineStr">
        <is>
          <t>Average per Day:</t>
        </is>
      </c>
      <c r="B8" s="14">
        <f>B7/B4</f>
        <v/>
      </c>
      <c r="C8" s="3" t="inlineStr">
        <is>
          <t>L/day</t>
        </is>
      </c>
    </row>
    <row r="10">
      <c r="A10" s="13" t="inlineStr">
        <is>
          <t>WEATHER SUMMARY</t>
        </is>
      </c>
    </row>
    <row r="11">
      <c r="A11" s="3" t="inlineStr">
        <is>
          <t>Total HDD:</t>
        </is>
      </c>
      <c r="B11" s="3">
        <f>SUM('Weather Data'!E2:E59)</f>
        <v/>
      </c>
      <c r="C11" s="3" t="inlineStr">
        <is>
          <t>HDD</t>
        </is>
      </c>
    </row>
    <row r="12">
      <c r="A12" s="3" t="inlineStr">
        <is>
          <t>Average HDD/day:</t>
        </is>
      </c>
      <c r="B12" s="14">
        <f>B11/B4</f>
        <v/>
      </c>
      <c r="C12" s="3" t="inlineStr">
        <is>
          <t>HDD/day</t>
        </is>
      </c>
    </row>
    <row r="13">
      <c r="A13" s="3" t="inlineStr">
        <is>
          <t>Average Temperature:</t>
        </is>
      </c>
      <c r="B13" s="14">
        <f>AVERAGE('Weather Data'!D2:D59)</f>
        <v/>
      </c>
      <c r="C13" s="3" t="inlineStr">
        <is>
          <t>°C</t>
        </is>
      </c>
    </row>
    <row r="15">
      <c r="A15" s="13" t="inlineStr">
        <is>
          <t>FUEL EFFICIENCY</t>
        </is>
      </c>
    </row>
    <row r="16">
      <c r="A16" s="15" t="inlineStr">
        <is>
          <t>Liters per HDD:</t>
        </is>
      </c>
      <c r="B16" s="16">
        <f>B7/B11</f>
        <v/>
      </c>
      <c r="C16" s="15" t="inlineStr">
        <is>
          <t>L/HDD</t>
        </is>
      </c>
    </row>
    <row r="18">
      <c r="A18" s="17" t="inlineStr">
        <is>
          <t>PREDICTIONS</t>
        </is>
      </c>
    </row>
    <row r="19">
      <c r="A19" s="3" t="inlineStr">
        <is>
          <t>Current Conditions Continue:</t>
        </is>
      </c>
    </row>
    <row r="20">
      <c r="A20" s="3" t="inlineStr">
        <is>
          <t xml:space="preserve">  Daily fuel use:</t>
        </is>
      </c>
      <c r="B20" s="14">
        <f>B12*B16</f>
        <v/>
      </c>
      <c r="C20" s="3" t="inlineStr">
        <is>
          <t>L/day</t>
        </is>
      </c>
    </row>
    <row r="21" ht="15.75" customHeight="1" s="28">
      <c r="A21" s="3" t="inlineStr">
        <is>
          <t xml:space="preserve">  Days from 1000L fill:</t>
        </is>
      </c>
      <c r="B21" s="14">
        <f>1000/B20</f>
        <v/>
      </c>
      <c r="C21" s="3" t="inlineStr">
        <is>
          <t>days</t>
        </is>
      </c>
    </row>
    <row r="22" ht="15.75" customHeight="1" s="28"/>
    <row r="23" ht="15.75" customHeight="1" s="28">
      <c r="A23" s="3" t="inlineStr">
        <is>
          <t>Deep Winter (20 HDD/day):</t>
        </is>
      </c>
    </row>
    <row r="24" ht="15.75" customHeight="1" s="28">
      <c r="A24" s="3" t="inlineStr">
        <is>
          <t xml:space="preserve">  Daily fuel use:</t>
        </is>
      </c>
      <c r="B24" s="14">
        <f>20*B16</f>
        <v/>
      </c>
      <c r="C24" s="3" t="inlineStr">
        <is>
          <t>L/day</t>
        </is>
      </c>
    </row>
    <row r="25" ht="15.75" customHeight="1" s="28">
      <c r="A25" s="3" t="inlineStr">
        <is>
          <t xml:space="preserve">  Days from 1000L fill:</t>
        </is>
      </c>
      <c r="B25" s="14">
        <f>1000/B24</f>
        <v/>
      </c>
      <c r="C25" s="3" t="inlineStr">
        <is>
          <t>days</t>
        </is>
      </c>
    </row>
    <row r="26" ht="15.75" customHeight="1" s="28"/>
    <row r="27" ht="15.75" customHeight="1" s="28">
      <c r="A27" s="3" t="inlineStr">
        <is>
          <t>Mild Winter (15 HDD/day):</t>
        </is>
      </c>
    </row>
    <row r="28" ht="15.75" customHeight="1" s="28">
      <c r="A28" s="3" t="inlineStr">
        <is>
          <t xml:space="preserve">  Daily fuel use:</t>
        </is>
      </c>
      <c r="B28" s="14">
        <f>15*B16</f>
        <v/>
      </c>
      <c r="C28" s="3" t="inlineStr">
        <is>
          <t>L/day</t>
        </is>
      </c>
    </row>
    <row r="29" ht="15.75" customHeight="1" s="28">
      <c r="A29" s="3" t="inlineStr">
        <is>
          <t xml:space="preserve">  Days from 1000L fill:</t>
        </is>
      </c>
      <c r="B29" s="14">
        <f>1000/B28</f>
        <v/>
      </c>
      <c r="C29" s="3" t="inlineStr">
        <is>
          <t>days</t>
        </is>
      </c>
    </row>
    <row r="30" ht="15.75" customHeight="1" s="28"/>
    <row r="31" ht="15.75" customHeight="1" s="28">
      <c r="A31" s="18" t="inlineStr">
        <is>
          <t>COST ANALYSIS</t>
        </is>
      </c>
    </row>
    <row r="32" ht="15.75" customHeight="1" s="28">
      <c r="A32" s="3" t="inlineStr">
        <is>
          <t>Total Spent (Sept-Nov):</t>
        </is>
      </c>
      <c r="B32" s="19">
        <f>SUM('Fuel Fills'!H2:H5)</f>
        <v/>
      </c>
      <c r="C32" s="3" t="inlineStr">
        <is>
          <t>$</t>
        </is>
      </c>
    </row>
    <row r="33" ht="15.75" customHeight="1" s="28">
      <c r="A33" s="3" t="inlineStr">
        <is>
          <t>Average Price per Liter:</t>
        </is>
      </c>
      <c r="B33" s="20">
        <f>AVERAGE('Fuel Fills'!E2:E5)</f>
        <v/>
      </c>
      <c r="C33" s="3" t="inlineStr">
        <is>
          <t>$/L</t>
        </is>
      </c>
    </row>
    <row r="34" ht="15.75" customHeight="1" s="28">
      <c r="A34" s="3" t="inlineStr">
        <is>
          <t>Cost per Day (Sept-Nov):</t>
        </is>
      </c>
      <c r="B34" s="21">
        <f>B32/B4</f>
        <v/>
      </c>
      <c r="C34" s="3" t="inlineStr">
        <is>
          <t>$/day</t>
        </is>
      </c>
    </row>
    <row r="35" ht="15.75" customHeight="1" s="28"/>
    <row r="36" ht="15.75" customHeight="1" s="28">
      <c r="A36" s="22" t="inlineStr">
        <is>
          <t>COST PROJECTIONS</t>
        </is>
      </c>
    </row>
    <row r="37" ht="15.75" customHeight="1" s="28">
      <c r="A37" s="3" t="inlineStr">
        <is>
          <t>Estimated price $/L:</t>
        </is>
      </c>
      <c r="B37" s="23">
        <f>B33</f>
        <v/>
      </c>
      <c r="C37" s="3" t="inlineStr">
        <is>
          <t>$/L</t>
        </is>
      </c>
    </row>
    <row r="38" ht="15.75" customHeight="1" s="28"/>
    <row r="39" ht="15.75" customHeight="1" s="28">
      <c r="A39" s="3" t="inlineStr">
        <is>
          <t>Cost to refill from current (1000L):</t>
        </is>
      </c>
    </row>
    <row r="40" ht="15.75" customHeight="1" s="28">
      <c r="A40" s="3" t="inlineStr">
        <is>
          <t xml:space="preserve">  If current at 50%:</t>
        </is>
      </c>
      <c r="B40" s="19">
        <f>500*B37</f>
        <v/>
      </c>
      <c r="C40" s="3" t="inlineStr">
        <is>
          <t>$</t>
        </is>
      </c>
    </row>
    <row r="41" ht="15.75" customHeight="1" s="28">
      <c r="A41" s="3" t="inlineStr">
        <is>
          <t xml:space="preserve">  If current at 25%:</t>
        </is>
      </c>
      <c r="B41" s="19">
        <f>750*B37</f>
        <v/>
      </c>
      <c r="C41" s="3" t="inlineStr">
        <is>
          <t>$</t>
        </is>
      </c>
    </row>
    <row r="42" ht="15.75" customHeight="1" s="28"/>
    <row r="43" ht="15.75" customHeight="1" s="28">
      <c r="A43" s="3" t="inlineStr">
        <is>
          <t>Monthly heating cost estimates:</t>
        </is>
      </c>
    </row>
    <row r="44" ht="15.75" customHeight="1" s="28">
      <c r="A44" s="3" t="inlineStr">
        <is>
          <t xml:space="preserve">  Current conditions:</t>
        </is>
      </c>
      <c r="B44" s="19">
        <f>B20*30*B37</f>
        <v/>
      </c>
      <c r="C44" s="3" t="inlineStr">
        <is>
          <t>$/month</t>
        </is>
      </c>
    </row>
    <row r="45" ht="15.75" customHeight="1" s="28">
      <c r="A45" s="3" t="inlineStr">
        <is>
          <t xml:space="preserve">  Deep winter:</t>
        </is>
      </c>
      <c r="B45" s="19">
        <f>B24*30*B37</f>
        <v/>
      </c>
      <c r="C45" s="3" t="inlineStr">
        <is>
          <t>$/month</t>
        </is>
      </c>
    </row>
    <row r="46" ht="15.75" customHeight="1" s="28">
      <c r="A46" s="3" t="inlineStr">
        <is>
          <t xml:space="preserve">  Mild winter:</t>
        </is>
      </c>
      <c r="B46" s="19">
        <f>B28*30*B37</f>
        <v/>
      </c>
      <c r="C46" s="3" t="inlineStr">
        <is>
          <t>$/month</t>
        </is>
      </c>
    </row>
    <row r="47" ht="15.75" customHeight="1" s="28"/>
    <row r="48" ht="15.75" customHeight="1" s="28">
      <c r="A48" s="13" t="inlineStr">
        <is>
          <t>CUSTOM PREDICTION</t>
        </is>
      </c>
    </row>
    <row r="49" ht="15.75" customHeight="1" s="28">
      <c r="A49" s="3" t="inlineStr">
        <is>
          <t>Enter forecast HDD/day:</t>
        </is>
      </c>
      <c r="B49" s="24" t="n">
        <v>12</v>
      </c>
      <c r="C49" s="3" t="inlineStr">
        <is>
          <t>HDD/day</t>
        </is>
      </c>
    </row>
    <row r="50" ht="15.75" customHeight="1" s="28">
      <c r="A50" s="3" t="inlineStr">
        <is>
          <t xml:space="preserve">  Daily fuel use:</t>
        </is>
      </c>
      <c r="B50" s="14">
        <f>B49*B16</f>
        <v/>
      </c>
      <c r="C50" s="3" t="inlineStr">
        <is>
          <t>L/day</t>
        </is>
      </c>
    </row>
    <row r="51" ht="15.75" customHeight="1" s="28">
      <c r="A51" s="3" t="inlineStr">
        <is>
          <t xml:space="preserve">  Days from 1000L fill:</t>
        </is>
      </c>
      <c r="B51" s="14">
        <f>1000/B50</f>
        <v/>
      </c>
      <c r="C51" s="3" t="inlineStr">
        <is>
          <t>days</t>
        </is>
      </c>
    </row>
    <row r="52" ht="15.75" customHeight="1" s="28">
      <c r="A52" s="3" t="inlineStr">
        <is>
          <t xml:space="preserve">  Monthly cost:</t>
        </is>
      </c>
      <c r="B52" s="19">
        <f>B50*30*B37</f>
        <v/>
      </c>
      <c r="C52" s="3" t="inlineStr">
        <is>
          <t>$/month</t>
        </is>
      </c>
    </row>
    <row r="53" ht="15.75" customHeight="1" s="28"/>
    <row r="54" ht="15.75" customHeight="1" s="28"/>
    <row r="55" ht="15.75" customHeight="1" s="28"/>
    <row r="56" ht="15.75" customHeight="1" s="28"/>
    <row r="57" ht="15.75" customHeight="1" s="28"/>
    <row r="58" ht="15.75" customHeight="1" s="28"/>
    <row r="59" ht="15.75" customHeight="1" s="28"/>
    <row r="60" ht="15.75" customHeight="1" s="28"/>
    <row r="61" ht="15.75" customHeight="1" s="28"/>
    <row r="62" ht="15.75" customHeight="1" s="28"/>
    <row r="63" ht="15.75" customHeight="1" s="28"/>
    <row r="64" ht="15.75" customHeight="1" s="28"/>
    <row r="65" ht="15.75" customHeight="1" s="28"/>
    <row r="66" ht="15.75" customHeight="1" s="28"/>
    <row r="67" ht="15.75" customHeight="1" s="28"/>
    <row r="68" ht="15.75" customHeight="1" s="28"/>
    <row r="69" ht="15.75" customHeight="1" s="28"/>
    <row r="70" ht="15.75" customHeight="1" s="28"/>
    <row r="71" ht="15.75" customHeight="1" s="28"/>
    <row r="72" ht="15.75" customHeight="1" s="28"/>
    <row r="73" ht="15.75" customHeight="1" s="28"/>
    <row r="74" ht="15.75" customHeight="1" s="28"/>
    <row r="75" ht="15.75" customHeight="1" s="28"/>
    <row r="76" ht="15.75" customHeight="1" s="28"/>
    <row r="77" ht="15.75" customHeight="1" s="28"/>
    <row r="78" ht="15.75" customHeight="1" s="28"/>
    <row r="79" ht="15.75" customHeight="1" s="28"/>
    <row r="80" ht="15.75" customHeight="1" s="28"/>
    <row r="81" ht="15.75" customHeight="1" s="28"/>
    <row r="82" ht="15.75" customHeight="1" s="28"/>
    <row r="83" ht="15.75" customHeight="1" s="28"/>
    <row r="84" ht="15.75" customHeight="1" s="28"/>
    <row r="85" ht="15.75" customHeight="1" s="28"/>
    <row r="86" ht="15.75" customHeight="1" s="28"/>
    <row r="87" ht="15.75" customHeight="1" s="28"/>
    <row r="88" ht="15.75" customHeight="1" s="28"/>
    <row r="89" ht="15.75" customHeight="1" s="28"/>
    <row r="90" ht="15.75" customHeight="1" s="28"/>
    <row r="91" ht="15.75" customHeight="1" s="28"/>
    <row r="92" ht="15.75" customHeight="1" s="28"/>
    <row r="93" ht="15.75" customHeight="1" s="28"/>
    <row r="94" ht="15.75" customHeight="1" s="28"/>
    <row r="95" ht="15.75" customHeight="1" s="28"/>
    <row r="96" ht="15.75" customHeight="1" s="28"/>
    <row r="97" ht="15.75" customHeight="1" s="28"/>
    <row r="98" ht="15.75" customHeight="1" s="28"/>
    <row r="99" ht="15.75" customHeight="1" s="28"/>
    <row r="100" ht="15.75" customHeight="1" s="28"/>
    <row r="101" ht="15.75" customHeight="1" s="28"/>
    <row r="102" ht="15.75" customHeight="1" s="28"/>
    <row r="103" ht="15.75" customHeight="1" s="28"/>
    <row r="104" ht="15.75" customHeight="1" s="28"/>
    <row r="105" ht="15.75" customHeight="1" s="28"/>
    <row r="106" ht="15.75" customHeight="1" s="28"/>
    <row r="107" ht="15.75" customHeight="1" s="28"/>
    <row r="108" ht="15.75" customHeight="1" s="28"/>
    <row r="109" ht="15.75" customHeight="1" s="28"/>
    <row r="110" ht="15.75" customHeight="1" s="28"/>
    <row r="111" ht="15.75" customHeight="1" s="28"/>
    <row r="112" ht="15.75" customHeight="1" s="28"/>
    <row r="113" ht="15.75" customHeight="1" s="28"/>
    <row r="114" ht="15.75" customHeight="1" s="28"/>
    <row r="115" ht="15.75" customHeight="1" s="28"/>
    <row r="116" ht="15.75" customHeight="1" s="28"/>
    <row r="117" ht="15.75" customHeight="1" s="28"/>
    <row r="118" ht="15.75" customHeight="1" s="28"/>
    <row r="119" ht="15.75" customHeight="1" s="28"/>
    <row r="120" ht="15.75" customHeight="1" s="28"/>
    <row r="121" ht="15.75" customHeight="1" s="28"/>
    <row r="122" ht="15.75" customHeight="1" s="28"/>
    <row r="123" ht="15.75" customHeight="1" s="28"/>
    <row r="124" ht="15.75" customHeight="1" s="28"/>
    <row r="125" ht="15.75" customHeight="1" s="28"/>
    <row r="126" ht="15.75" customHeight="1" s="28"/>
    <row r="127" ht="15.75" customHeight="1" s="28"/>
    <row r="128" ht="15.75" customHeight="1" s="28"/>
    <row r="129" ht="15.75" customHeight="1" s="28"/>
    <row r="130" ht="15.75" customHeight="1" s="28"/>
    <row r="131" ht="15.75" customHeight="1" s="28"/>
    <row r="132" ht="15.75" customHeight="1" s="28"/>
    <row r="133" ht="15.75" customHeight="1" s="28"/>
    <row r="134" ht="15.75" customHeight="1" s="28"/>
    <row r="135" ht="15.75" customHeight="1" s="28"/>
    <row r="136" ht="15.75" customHeight="1" s="28"/>
    <row r="137" ht="15.75" customHeight="1" s="28"/>
    <row r="138" ht="15.75" customHeight="1" s="28"/>
    <row r="139" ht="15.75" customHeight="1" s="28"/>
    <row r="140" ht="15.75" customHeight="1" s="28"/>
    <row r="141" ht="15.75" customHeight="1" s="28"/>
    <row r="142" ht="15.75" customHeight="1" s="28"/>
    <row r="143" ht="15.75" customHeight="1" s="28"/>
    <row r="144" ht="15.75" customHeight="1" s="28"/>
    <row r="145" ht="15.75" customHeight="1" s="28"/>
    <row r="146" ht="15.75" customHeight="1" s="28"/>
    <row r="147" ht="15.75" customHeight="1" s="28"/>
    <row r="148" ht="15.75" customHeight="1" s="28"/>
    <row r="149" ht="15.75" customHeight="1" s="28"/>
    <row r="150" ht="15.75" customHeight="1" s="28"/>
    <row r="151" ht="15.75" customHeight="1" s="28"/>
    <row r="152" ht="15.75" customHeight="1" s="28"/>
    <row r="153" ht="15.75" customHeight="1" s="28"/>
    <row r="154" ht="15.75" customHeight="1" s="28"/>
    <row r="155" ht="15.75" customHeight="1" s="28"/>
    <row r="156" ht="15.75" customHeight="1" s="28"/>
    <row r="157" ht="15.75" customHeight="1" s="28"/>
    <row r="158" ht="15.75" customHeight="1" s="28"/>
    <row r="159" ht="15.75" customHeight="1" s="28"/>
    <row r="160" ht="15.75" customHeight="1" s="28"/>
    <row r="161" ht="15.75" customHeight="1" s="28"/>
    <row r="162" ht="15.75" customHeight="1" s="28"/>
    <row r="163" ht="15.75" customHeight="1" s="28"/>
    <row r="164" ht="15.75" customHeight="1" s="28"/>
    <row r="165" ht="15.75" customHeight="1" s="28"/>
    <row r="166" ht="15.75" customHeight="1" s="28"/>
    <row r="167" ht="15.75" customHeight="1" s="28"/>
    <row r="168" ht="15.75" customHeight="1" s="28"/>
    <row r="169" ht="15.75" customHeight="1" s="28"/>
    <row r="170" ht="15.75" customHeight="1" s="28"/>
    <row r="171" ht="15.75" customHeight="1" s="28"/>
    <row r="172" ht="15.75" customHeight="1" s="28"/>
    <row r="173" ht="15.75" customHeight="1" s="28"/>
    <row r="174" ht="15.75" customHeight="1" s="28"/>
    <row r="175" ht="15.75" customHeight="1" s="28"/>
    <row r="176" ht="15.75" customHeight="1" s="28"/>
    <row r="177" ht="15.75" customHeight="1" s="28"/>
    <row r="178" ht="15.75" customHeight="1" s="28"/>
    <row r="179" ht="15.75" customHeight="1" s="28"/>
    <row r="180" ht="15.75" customHeight="1" s="28"/>
    <row r="181" ht="15.75" customHeight="1" s="28"/>
    <row r="182" ht="15.75" customHeight="1" s="28"/>
    <row r="183" ht="15.75" customHeight="1" s="28"/>
    <row r="184" ht="15.75" customHeight="1" s="28"/>
    <row r="185" ht="15.75" customHeight="1" s="28"/>
    <row r="186" ht="15.75" customHeight="1" s="28"/>
    <row r="187" ht="15.75" customHeight="1" s="28"/>
    <row r="188" ht="15.75" customHeight="1" s="28"/>
    <row r="189" ht="15.75" customHeight="1" s="28"/>
    <row r="190" ht="15.75" customHeight="1" s="28"/>
    <row r="191" ht="15.75" customHeight="1" s="28"/>
    <row r="192" ht="15.75" customHeight="1" s="28"/>
    <row r="193" ht="15.75" customHeight="1" s="28"/>
    <row r="194" ht="15.75" customHeight="1" s="28"/>
    <row r="195" ht="15.75" customHeight="1" s="28"/>
    <row r="196" ht="15.75" customHeight="1" s="28"/>
    <row r="197" ht="15.75" customHeight="1" s="28"/>
    <row r="198" ht="15.75" customHeight="1" s="28"/>
    <row r="199" ht="15.75" customHeight="1" s="28"/>
    <row r="200" ht="15.75" customHeight="1" s="28"/>
    <row r="201" ht="15.75" customHeight="1" s="28"/>
    <row r="202" ht="15.75" customHeight="1" s="28"/>
    <row r="203" ht="15.75" customHeight="1" s="28"/>
    <row r="204" ht="15.75" customHeight="1" s="28"/>
    <row r="205" ht="15.75" customHeight="1" s="28"/>
    <row r="206" ht="15.75" customHeight="1" s="28"/>
    <row r="207" ht="15.75" customHeight="1" s="28"/>
    <row r="208" ht="15.75" customHeight="1" s="28"/>
    <row r="209" ht="15.75" customHeight="1" s="28"/>
    <row r="210" ht="15.75" customHeight="1" s="28"/>
    <row r="211" ht="15.75" customHeight="1" s="28"/>
    <row r="212" ht="15.75" customHeight="1" s="28"/>
    <row r="213" ht="15.75" customHeight="1" s="28"/>
    <row r="214" ht="15.75" customHeight="1" s="28"/>
    <row r="215" ht="15.75" customHeight="1" s="28"/>
    <row r="216" ht="15.75" customHeight="1" s="28"/>
    <row r="217" ht="15.75" customHeight="1" s="28"/>
    <row r="218" ht="15.75" customHeight="1" s="28"/>
    <row r="219" ht="15.75" customHeight="1" s="28"/>
    <row r="220" ht="15.75" customHeight="1" s="28"/>
    <row r="221" ht="15.75" customHeight="1" s="28"/>
    <row r="222" ht="15.75" customHeight="1" s="28"/>
    <row r="223" ht="15.75" customHeight="1" s="28"/>
    <row r="224" ht="15.75" customHeight="1" s="28"/>
    <row r="225" ht="15.75" customHeight="1" s="28"/>
    <row r="226" ht="15.75" customHeight="1" s="28"/>
    <row r="227" ht="15.75" customHeight="1" s="28"/>
    <row r="228" ht="15.75" customHeight="1" s="28"/>
    <row r="229" ht="15.75" customHeight="1" s="28"/>
    <row r="230" ht="15.75" customHeight="1" s="28"/>
    <row r="231" ht="15.75" customHeight="1" s="28"/>
    <row r="232" ht="15.75" customHeight="1" s="28"/>
    <row r="233" ht="15.75" customHeight="1" s="28"/>
    <row r="234" ht="15.75" customHeight="1" s="28"/>
    <row r="235" ht="15.75" customHeight="1" s="28"/>
    <row r="236" ht="15.75" customHeight="1" s="28"/>
    <row r="237" ht="15.75" customHeight="1" s="28"/>
    <row r="238" ht="15.75" customHeight="1" s="28"/>
    <row r="239" ht="15.75" customHeight="1" s="28"/>
    <row r="240" ht="15.75" customHeight="1" s="28"/>
    <row r="241" ht="15.75" customHeight="1" s="28"/>
    <row r="242" ht="15.75" customHeight="1" s="28"/>
    <row r="243" ht="15.75" customHeight="1" s="28"/>
    <row r="244" ht="15.75" customHeight="1" s="28"/>
    <row r="245" ht="15.75" customHeight="1" s="28"/>
    <row r="246" ht="15.75" customHeight="1" s="28"/>
    <row r="247" ht="15.75" customHeight="1" s="28"/>
    <row r="248" ht="15.75" customHeight="1" s="28"/>
    <row r="249" ht="15.75" customHeight="1" s="28"/>
    <row r="250" ht="15.75" customHeight="1" s="28"/>
    <row r="251" ht="15.75" customHeight="1" s="28"/>
    <row r="252" ht="15.75" customHeight="1" s="28"/>
    <row r="253" ht="15.75" customHeight="1" s="28"/>
    <row r="254" ht="15.75" customHeight="1" s="28"/>
    <row r="255" ht="15.75" customHeight="1" s="28"/>
    <row r="256" ht="15.75" customHeight="1" s="28"/>
    <row r="257" ht="15.75" customHeight="1" s="28"/>
    <row r="258" ht="15.75" customHeight="1" s="28"/>
    <row r="259" ht="15.75" customHeight="1" s="28"/>
    <row r="260" ht="15.75" customHeight="1" s="28"/>
    <row r="261" ht="15.75" customHeight="1" s="28"/>
    <row r="262" ht="15.75" customHeight="1" s="28"/>
    <row r="263" ht="15.75" customHeight="1" s="28"/>
    <row r="264" ht="15.75" customHeight="1" s="28"/>
    <row r="265" ht="15.75" customHeight="1" s="28"/>
    <row r="266" ht="15.75" customHeight="1" s="28"/>
    <row r="267" ht="15.75" customHeight="1" s="28"/>
    <row r="268" ht="15.75" customHeight="1" s="28"/>
    <row r="269" ht="15.75" customHeight="1" s="28"/>
    <row r="270" ht="15.75" customHeight="1" s="28"/>
    <row r="271" ht="15.75" customHeight="1" s="28"/>
    <row r="272" ht="15.75" customHeight="1" s="28"/>
    <row r="273" ht="15.75" customHeight="1" s="28"/>
    <row r="274" ht="15.75" customHeight="1" s="28"/>
    <row r="275" ht="15.75" customHeight="1" s="28"/>
    <row r="276" ht="15.75" customHeight="1" s="28"/>
    <row r="277" ht="15.75" customHeight="1" s="28"/>
    <row r="278" ht="15.75" customHeight="1" s="28"/>
    <row r="279" ht="15.75" customHeight="1" s="28"/>
    <row r="280" ht="15.75" customHeight="1" s="28"/>
    <row r="281" ht="15.75" customHeight="1" s="28"/>
    <row r="282" ht="15.75" customHeight="1" s="28"/>
    <row r="283" ht="15.75" customHeight="1" s="28"/>
    <row r="284" ht="15.75" customHeight="1" s="28"/>
    <row r="285" ht="15.75" customHeight="1" s="28"/>
    <row r="286" ht="15.75" customHeight="1" s="28"/>
    <row r="287" ht="15.75" customHeight="1" s="28"/>
    <row r="288" ht="15.75" customHeight="1" s="28"/>
    <row r="289" ht="15.75" customHeight="1" s="28"/>
    <row r="290" ht="15.75" customHeight="1" s="28"/>
    <row r="291" ht="15.75" customHeight="1" s="28"/>
    <row r="292" ht="15.75" customHeight="1" s="28"/>
    <row r="293" ht="15.75" customHeight="1" s="28"/>
    <row r="294" ht="15.75" customHeight="1" s="28"/>
    <row r="295" ht="15.75" customHeight="1" s="28"/>
    <row r="296" ht="15.75" customHeight="1" s="28"/>
    <row r="297" ht="15.75" customHeight="1" s="28"/>
    <row r="298" ht="15.75" customHeight="1" s="28"/>
    <row r="299" ht="15.75" customHeight="1" s="28"/>
    <row r="300" ht="15.75" customHeight="1" s="28"/>
    <row r="301" ht="15.75" customHeight="1" s="28"/>
    <row r="302" ht="15.75" customHeight="1" s="28"/>
    <row r="303" ht="15.75" customHeight="1" s="28"/>
    <row r="304" ht="15.75" customHeight="1" s="28"/>
    <row r="305" ht="15.75" customHeight="1" s="28"/>
    <row r="306" ht="15.75" customHeight="1" s="28"/>
    <row r="307" ht="15.75" customHeight="1" s="28"/>
    <row r="308" ht="15.75" customHeight="1" s="28"/>
    <row r="309" ht="15.75" customHeight="1" s="28"/>
    <row r="310" ht="15.75" customHeight="1" s="28"/>
    <row r="311" ht="15.75" customHeight="1" s="28"/>
    <row r="312" ht="15.75" customHeight="1" s="28"/>
    <row r="313" ht="15.75" customHeight="1" s="28"/>
    <row r="314" ht="15.75" customHeight="1" s="28"/>
    <row r="315" ht="15.75" customHeight="1" s="28"/>
    <row r="316" ht="15.75" customHeight="1" s="28"/>
    <row r="317" ht="15.75" customHeight="1" s="28"/>
    <row r="318" ht="15.75" customHeight="1" s="28"/>
    <row r="319" ht="15.75" customHeight="1" s="28"/>
    <row r="320" ht="15.75" customHeight="1" s="28"/>
    <row r="321" ht="15.75" customHeight="1" s="28"/>
    <row r="322" ht="15.75" customHeight="1" s="28"/>
    <row r="323" ht="15.75" customHeight="1" s="28"/>
    <row r="324" ht="15.75" customHeight="1" s="28"/>
    <row r="325" ht="15.75" customHeight="1" s="28"/>
    <row r="326" ht="15.75" customHeight="1" s="28"/>
    <row r="327" ht="15.75" customHeight="1" s="28"/>
    <row r="328" ht="15.75" customHeight="1" s="28"/>
    <row r="329" ht="15.75" customHeight="1" s="28"/>
    <row r="330" ht="15.75" customHeight="1" s="28"/>
    <row r="331" ht="15.75" customHeight="1" s="28"/>
    <row r="332" ht="15.75" customHeight="1" s="28"/>
    <row r="333" ht="15.75" customHeight="1" s="28"/>
    <row r="334" ht="15.75" customHeight="1" s="28"/>
    <row r="335" ht="15.75" customHeight="1" s="28"/>
    <row r="336" ht="15.75" customHeight="1" s="28"/>
    <row r="337" ht="15.75" customHeight="1" s="28"/>
    <row r="338" ht="15.75" customHeight="1" s="28"/>
    <row r="339" ht="15.75" customHeight="1" s="28"/>
    <row r="340" ht="15.75" customHeight="1" s="28"/>
    <row r="341" ht="15.75" customHeight="1" s="28"/>
    <row r="342" ht="15.75" customHeight="1" s="28"/>
    <row r="343" ht="15.75" customHeight="1" s="28"/>
    <row r="344" ht="15.75" customHeight="1" s="28"/>
    <row r="345" ht="15.75" customHeight="1" s="28"/>
    <row r="346" ht="15.75" customHeight="1" s="28"/>
    <row r="347" ht="15.75" customHeight="1" s="28"/>
    <row r="348" ht="15.75" customHeight="1" s="28"/>
    <row r="349" ht="15.75" customHeight="1" s="28"/>
    <row r="350" ht="15.75" customHeight="1" s="28"/>
    <row r="351" ht="15.75" customHeight="1" s="28"/>
    <row r="352" ht="15.75" customHeight="1" s="28"/>
    <row r="353" ht="15.75" customHeight="1" s="28"/>
    <row r="354" ht="15.75" customHeight="1" s="28"/>
    <row r="355" ht="15.75" customHeight="1" s="28"/>
    <row r="356" ht="15.75" customHeight="1" s="28"/>
    <row r="357" ht="15.75" customHeight="1" s="28"/>
    <row r="358" ht="15.75" customHeight="1" s="28"/>
    <row r="359" ht="15.75" customHeight="1" s="28"/>
    <row r="360" ht="15.75" customHeight="1" s="28"/>
    <row r="361" ht="15.75" customHeight="1" s="28"/>
    <row r="362" ht="15.75" customHeight="1" s="28"/>
    <row r="363" ht="15.75" customHeight="1" s="28"/>
    <row r="364" ht="15.75" customHeight="1" s="28"/>
    <row r="365" ht="15.75" customHeight="1" s="28"/>
    <row r="366" ht="15.75" customHeight="1" s="28"/>
    <row r="367" ht="15.75" customHeight="1" s="28"/>
    <row r="368" ht="15.75" customHeight="1" s="28"/>
    <row r="369" ht="15.75" customHeight="1" s="28"/>
    <row r="370" ht="15.75" customHeight="1" s="28"/>
    <row r="371" ht="15.75" customHeight="1" s="28"/>
    <row r="372" ht="15.75" customHeight="1" s="28"/>
    <row r="373" ht="15.75" customHeight="1" s="28"/>
    <row r="374" ht="15.75" customHeight="1" s="28"/>
    <row r="375" ht="15.75" customHeight="1" s="28"/>
    <row r="376" ht="15.75" customHeight="1" s="28"/>
    <row r="377" ht="15.75" customHeight="1" s="28"/>
    <row r="378" ht="15.75" customHeight="1" s="28"/>
    <row r="379" ht="15.75" customHeight="1" s="28"/>
    <row r="380" ht="15.75" customHeight="1" s="28"/>
    <row r="381" ht="15.75" customHeight="1" s="28"/>
    <row r="382" ht="15.75" customHeight="1" s="28"/>
    <row r="383" ht="15.75" customHeight="1" s="28"/>
    <row r="384" ht="15.75" customHeight="1" s="28"/>
    <row r="385" ht="15.75" customHeight="1" s="28"/>
    <row r="386" ht="15.75" customHeight="1" s="28"/>
    <row r="387" ht="15.75" customHeight="1" s="28"/>
    <row r="388" ht="15.75" customHeight="1" s="28"/>
    <row r="389" ht="15.75" customHeight="1" s="28"/>
    <row r="390" ht="15.75" customHeight="1" s="28"/>
    <row r="391" ht="15.75" customHeight="1" s="28"/>
    <row r="392" ht="15.75" customHeight="1" s="28"/>
    <row r="393" ht="15.75" customHeight="1" s="28"/>
    <row r="394" ht="15.75" customHeight="1" s="28"/>
    <row r="395" ht="15.75" customHeight="1" s="28"/>
    <row r="396" ht="15.75" customHeight="1" s="28"/>
    <row r="397" ht="15.75" customHeight="1" s="28"/>
    <row r="398" ht="15.75" customHeight="1" s="28"/>
    <row r="399" ht="15.75" customHeight="1" s="28"/>
    <row r="400" ht="15.75" customHeight="1" s="28"/>
    <row r="401" ht="15.75" customHeight="1" s="28"/>
    <row r="402" ht="15.75" customHeight="1" s="28"/>
    <row r="403" ht="15.75" customHeight="1" s="28"/>
    <row r="404" ht="15.75" customHeight="1" s="28"/>
    <row r="405" ht="15.75" customHeight="1" s="28"/>
    <row r="406" ht="15.75" customHeight="1" s="28"/>
    <row r="407" ht="15.75" customHeight="1" s="28"/>
    <row r="408" ht="15.75" customHeight="1" s="28"/>
    <row r="409" ht="15.75" customHeight="1" s="28"/>
    <row r="410" ht="15.75" customHeight="1" s="28"/>
    <row r="411" ht="15.75" customHeight="1" s="28"/>
    <row r="412" ht="15.75" customHeight="1" s="28"/>
    <row r="413" ht="15.75" customHeight="1" s="28"/>
    <row r="414" ht="15.75" customHeight="1" s="28"/>
    <row r="415" ht="15.75" customHeight="1" s="28"/>
    <row r="416" ht="15.75" customHeight="1" s="28"/>
    <row r="417" ht="15.75" customHeight="1" s="28"/>
    <row r="418" ht="15.75" customHeight="1" s="28"/>
    <row r="419" ht="15.75" customHeight="1" s="28"/>
    <row r="420" ht="15.75" customHeight="1" s="28"/>
    <row r="421" ht="15.75" customHeight="1" s="28"/>
    <row r="422" ht="15.75" customHeight="1" s="28"/>
    <row r="423" ht="15.75" customHeight="1" s="28"/>
    <row r="424" ht="15.75" customHeight="1" s="28"/>
    <row r="425" ht="15.75" customHeight="1" s="28"/>
    <row r="426" ht="15.75" customHeight="1" s="28"/>
    <row r="427" ht="15.75" customHeight="1" s="28"/>
    <row r="428" ht="15.75" customHeight="1" s="28"/>
    <row r="429" ht="15.75" customHeight="1" s="28"/>
    <row r="430" ht="15.75" customHeight="1" s="28"/>
    <row r="431" ht="15.75" customHeight="1" s="28"/>
    <row r="432" ht="15.75" customHeight="1" s="28"/>
    <row r="433" ht="15.75" customHeight="1" s="28"/>
    <row r="434" ht="15.75" customHeight="1" s="28"/>
    <row r="435" ht="15.75" customHeight="1" s="28"/>
    <row r="436" ht="15.75" customHeight="1" s="28"/>
    <row r="437" ht="15.75" customHeight="1" s="28"/>
    <row r="438" ht="15.75" customHeight="1" s="28"/>
    <row r="439" ht="15.75" customHeight="1" s="28"/>
    <row r="440" ht="15.75" customHeight="1" s="28"/>
    <row r="441" ht="15.75" customHeight="1" s="28"/>
    <row r="442" ht="15.75" customHeight="1" s="28"/>
    <row r="443" ht="15.75" customHeight="1" s="28"/>
    <row r="444" ht="15.75" customHeight="1" s="28"/>
    <row r="445" ht="15.75" customHeight="1" s="28"/>
    <row r="446" ht="15.75" customHeight="1" s="28"/>
    <row r="447" ht="15.75" customHeight="1" s="28"/>
    <row r="448" ht="15.75" customHeight="1" s="28"/>
    <row r="449" ht="15.75" customHeight="1" s="28"/>
    <row r="450" ht="15.75" customHeight="1" s="28"/>
    <row r="451" ht="15.75" customHeight="1" s="28"/>
    <row r="452" ht="15.75" customHeight="1" s="28"/>
    <row r="453" ht="15.75" customHeight="1" s="28"/>
    <row r="454" ht="15.75" customHeight="1" s="28"/>
    <row r="455" ht="15.75" customHeight="1" s="28"/>
    <row r="456" ht="15.75" customHeight="1" s="28"/>
    <row r="457" ht="15.75" customHeight="1" s="28"/>
    <row r="458" ht="15.75" customHeight="1" s="28"/>
    <row r="459" ht="15.75" customHeight="1" s="28"/>
    <row r="460" ht="15.75" customHeight="1" s="28"/>
    <row r="461" ht="15.75" customHeight="1" s="28"/>
    <row r="462" ht="15.75" customHeight="1" s="28"/>
    <row r="463" ht="15.75" customHeight="1" s="28"/>
    <row r="464" ht="15.75" customHeight="1" s="28"/>
    <row r="465" ht="15.75" customHeight="1" s="28"/>
    <row r="466" ht="15.75" customHeight="1" s="28"/>
    <row r="467" ht="15.75" customHeight="1" s="28"/>
    <row r="468" ht="15.75" customHeight="1" s="28"/>
    <row r="469" ht="15.75" customHeight="1" s="28"/>
    <row r="470" ht="15.75" customHeight="1" s="28"/>
    <row r="471" ht="15.75" customHeight="1" s="28"/>
    <row r="472" ht="15.75" customHeight="1" s="28"/>
    <row r="473" ht="15.75" customHeight="1" s="28"/>
    <row r="474" ht="15.75" customHeight="1" s="28"/>
    <row r="475" ht="15.75" customHeight="1" s="28"/>
    <row r="476" ht="15.75" customHeight="1" s="28"/>
    <row r="477" ht="15.75" customHeight="1" s="28"/>
    <row r="478" ht="15.75" customHeight="1" s="28"/>
    <row r="479" ht="15.75" customHeight="1" s="28"/>
    <row r="480" ht="15.75" customHeight="1" s="28"/>
    <row r="481" ht="15.75" customHeight="1" s="28"/>
    <row r="482" ht="15.75" customHeight="1" s="28"/>
    <row r="483" ht="15.75" customHeight="1" s="28"/>
    <row r="484" ht="15.75" customHeight="1" s="28"/>
    <row r="485" ht="15.75" customHeight="1" s="28"/>
    <row r="486" ht="15.75" customHeight="1" s="28"/>
    <row r="487" ht="15.75" customHeight="1" s="28"/>
    <row r="488" ht="15.75" customHeight="1" s="28"/>
    <row r="489" ht="15.75" customHeight="1" s="28"/>
    <row r="490" ht="15.75" customHeight="1" s="28"/>
    <row r="491" ht="15.75" customHeight="1" s="28"/>
    <row r="492" ht="15.75" customHeight="1" s="28"/>
    <row r="493" ht="15.75" customHeight="1" s="28"/>
    <row r="494" ht="15.75" customHeight="1" s="28"/>
    <row r="495" ht="15.75" customHeight="1" s="28"/>
    <row r="496" ht="15.75" customHeight="1" s="28"/>
    <row r="497" ht="15.75" customHeight="1" s="28"/>
    <row r="498" ht="15.75" customHeight="1" s="28"/>
    <row r="499" ht="15.75" customHeight="1" s="28"/>
    <row r="500" ht="15.75" customHeight="1" s="28"/>
    <row r="501" ht="15.75" customHeight="1" s="28"/>
    <row r="502" ht="15.75" customHeight="1" s="28"/>
    <row r="503" ht="15.75" customHeight="1" s="28"/>
    <row r="504" ht="15.75" customHeight="1" s="28"/>
    <row r="505" ht="15.75" customHeight="1" s="28"/>
    <row r="506" ht="15.75" customHeight="1" s="28"/>
    <row r="507" ht="15.75" customHeight="1" s="28"/>
    <row r="508" ht="15.75" customHeight="1" s="28"/>
    <row r="509" ht="15.75" customHeight="1" s="28"/>
    <row r="510" ht="15.75" customHeight="1" s="28"/>
    <row r="511" ht="15.75" customHeight="1" s="28"/>
    <row r="512" ht="15.75" customHeight="1" s="28"/>
    <row r="513" ht="15.75" customHeight="1" s="28"/>
    <row r="514" ht="15.75" customHeight="1" s="28"/>
    <row r="515" ht="15.75" customHeight="1" s="28"/>
    <row r="516" ht="15.75" customHeight="1" s="28"/>
    <row r="517" ht="15.75" customHeight="1" s="28"/>
    <row r="518" ht="15.75" customHeight="1" s="28"/>
    <row r="519" ht="15.75" customHeight="1" s="28"/>
    <row r="520" ht="15.75" customHeight="1" s="28"/>
    <row r="521" ht="15.75" customHeight="1" s="28"/>
    <row r="522" ht="15.75" customHeight="1" s="28"/>
    <row r="523" ht="15.75" customHeight="1" s="28"/>
    <row r="524" ht="15.75" customHeight="1" s="28"/>
    <row r="525" ht="15.75" customHeight="1" s="28"/>
    <row r="526" ht="15.75" customHeight="1" s="28"/>
    <row r="527" ht="15.75" customHeight="1" s="28"/>
    <row r="528" ht="15.75" customHeight="1" s="28"/>
    <row r="529" ht="15.75" customHeight="1" s="28"/>
    <row r="530" ht="15.75" customHeight="1" s="28"/>
    <row r="531" ht="15.75" customHeight="1" s="28"/>
    <row r="532" ht="15.75" customHeight="1" s="28"/>
    <row r="533" ht="15.75" customHeight="1" s="28"/>
    <row r="534" ht="15.75" customHeight="1" s="28"/>
    <row r="535" ht="15.75" customHeight="1" s="28"/>
    <row r="536" ht="15.75" customHeight="1" s="28"/>
    <row r="537" ht="15.75" customHeight="1" s="28"/>
    <row r="538" ht="15.75" customHeight="1" s="28"/>
    <row r="539" ht="15.75" customHeight="1" s="28"/>
    <row r="540" ht="15.75" customHeight="1" s="28"/>
    <row r="541" ht="15.75" customHeight="1" s="28"/>
    <row r="542" ht="15.75" customHeight="1" s="28"/>
    <row r="543" ht="15.75" customHeight="1" s="28"/>
    <row r="544" ht="15.75" customHeight="1" s="28"/>
    <row r="545" ht="15.75" customHeight="1" s="28"/>
    <row r="546" ht="15.75" customHeight="1" s="28"/>
    <row r="547" ht="15.75" customHeight="1" s="28"/>
    <row r="548" ht="15.75" customHeight="1" s="28"/>
    <row r="549" ht="15.75" customHeight="1" s="28"/>
    <row r="550" ht="15.75" customHeight="1" s="28"/>
    <row r="551" ht="15.75" customHeight="1" s="28"/>
    <row r="552" ht="15.75" customHeight="1" s="28"/>
    <row r="553" ht="15.75" customHeight="1" s="28"/>
    <row r="554" ht="15.75" customHeight="1" s="28"/>
    <row r="555" ht="15.75" customHeight="1" s="28"/>
    <row r="556" ht="15.75" customHeight="1" s="28"/>
    <row r="557" ht="15.75" customHeight="1" s="28"/>
    <row r="558" ht="15.75" customHeight="1" s="28"/>
    <row r="559" ht="15.75" customHeight="1" s="28"/>
    <row r="560" ht="15.75" customHeight="1" s="28"/>
    <row r="561" ht="15.75" customHeight="1" s="28"/>
    <row r="562" ht="15.75" customHeight="1" s="28"/>
    <row r="563" ht="15.75" customHeight="1" s="28"/>
    <row r="564" ht="15.75" customHeight="1" s="28"/>
    <row r="565" ht="15.75" customHeight="1" s="28"/>
    <row r="566" ht="15.75" customHeight="1" s="28"/>
    <row r="567" ht="15.75" customHeight="1" s="28"/>
    <row r="568" ht="15.75" customHeight="1" s="28"/>
    <row r="569" ht="15.75" customHeight="1" s="28"/>
    <row r="570" ht="15.75" customHeight="1" s="28"/>
    <row r="571" ht="15.75" customHeight="1" s="28"/>
    <row r="572" ht="15.75" customHeight="1" s="28"/>
    <row r="573" ht="15.75" customHeight="1" s="28"/>
    <row r="574" ht="15.75" customHeight="1" s="28"/>
    <row r="575" ht="15.75" customHeight="1" s="28"/>
    <row r="576" ht="15.75" customHeight="1" s="28"/>
    <row r="577" ht="15.75" customHeight="1" s="28"/>
    <row r="578" ht="15.75" customHeight="1" s="28"/>
    <row r="579" ht="15.75" customHeight="1" s="28"/>
    <row r="580" ht="15.75" customHeight="1" s="28"/>
    <row r="581" ht="15.75" customHeight="1" s="28"/>
    <row r="582" ht="15.75" customHeight="1" s="28"/>
    <row r="583" ht="15.75" customHeight="1" s="28"/>
    <row r="584" ht="15.75" customHeight="1" s="28"/>
    <row r="585" ht="15.75" customHeight="1" s="28"/>
    <row r="586" ht="15.75" customHeight="1" s="28"/>
    <row r="587" ht="15.75" customHeight="1" s="28"/>
    <row r="588" ht="15.75" customHeight="1" s="28"/>
    <row r="589" ht="15.75" customHeight="1" s="28"/>
    <row r="590" ht="15.75" customHeight="1" s="28"/>
    <row r="591" ht="15.75" customHeight="1" s="28"/>
    <row r="592" ht="15.75" customHeight="1" s="28"/>
    <row r="593" ht="15.75" customHeight="1" s="28"/>
    <row r="594" ht="15.75" customHeight="1" s="28"/>
    <row r="595" ht="15.75" customHeight="1" s="28"/>
    <row r="596" ht="15.75" customHeight="1" s="28"/>
    <row r="597" ht="15.75" customHeight="1" s="28"/>
    <row r="598" ht="15.75" customHeight="1" s="28"/>
    <row r="599" ht="15.75" customHeight="1" s="28"/>
    <row r="600" ht="15.75" customHeight="1" s="28"/>
    <row r="601" ht="15.75" customHeight="1" s="28"/>
    <row r="602" ht="15.75" customHeight="1" s="28"/>
    <row r="603" ht="15.75" customHeight="1" s="28"/>
    <row r="604" ht="15.75" customHeight="1" s="28"/>
    <row r="605" ht="15.75" customHeight="1" s="28"/>
    <row r="606" ht="15.75" customHeight="1" s="28"/>
    <row r="607" ht="15.75" customHeight="1" s="28"/>
    <row r="608" ht="15.75" customHeight="1" s="28"/>
    <row r="609" ht="15.75" customHeight="1" s="28"/>
    <row r="610" ht="15.75" customHeight="1" s="28"/>
    <row r="611" ht="15.75" customHeight="1" s="28"/>
    <row r="612" ht="15.75" customHeight="1" s="28"/>
    <row r="613" ht="15.75" customHeight="1" s="28"/>
    <row r="614" ht="15.75" customHeight="1" s="28"/>
    <row r="615" ht="15.75" customHeight="1" s="28"/>
    <row r="616" ht="15.75" customHeight="1" s="28"/>
    <row r="617" ht="15.75" customHeight="1" s="28"/>
    <row r="618" ht="15.75" customHeight="1" s="28"/>
    <row r="619" ht="15.75" customHeight="1" s="28"/>
    <row r="620" ht="15.75" customHeight="1" s="28"/>
    <row r="621" ht="15.75" customHeight="1" s="28"/>
    <row r="622" ht="15.75" customHeight="1" s="28"/>
    <row r="623" ht="15.75" customHeight="1" s="28"/>
    <row r="624" ht="15.75" customHeight="1" s="28"/>
    <row r="625" ht="15.75" customHeight="1" s="28"/>
    <row r="626" ht="15.75" customHeight="1" s="28"/>
    <row r="627" ht="15.75" customHeight="1" s="28"/>
    <row r="628" ht="15.75" customHeight="1" s="28"/>
    <row r="629" ht="15.75" customHeight="1" s="28"/>
    <row r="630" ht="15.75" customHeight="1" s="28"/>
    <row r="631" ht="15.75" customHeight="1" s="28"/>
    <row r="632" ht="15.75" customHeight="1" s="28"/>
    <row r="633" ht="15.75" customHeight="1" s="28"/>
    <row r="634" ht="15.75" customHeight="1" s="28"/>
    <row r="635" ht="15.75" customHeight="1" s="28"/>
    <row r="636" ht="15.75" customHeight="1" s="28"/>
    <row r="637" ht="15.75" customHeight="1" s="28"/>
    <row r="638" ht="15.75" customHeight="1" s="28"/>
    <row r="639" ht="15.75" customHeight="1" s="28"/>
    <row r="640" ht="15.75" customHeight="1" s="28"/>
    <row r="641" ht="15.75" customHeight="1" s="28"/>
    <row r="642" ht="15.75" customHeight="1" s="28"/>
    <row r="643" ht="15.75" customHeight="1" s="28"/>
    <row r="644" ht="15.75" customHeight="1" s="28"/>
    <row r="645" ht="15.75" customHeight="1" s="28"/>
    <row r="646" ht="15.75" customHeight="1" s="28"/>
    <row r="647" ht="15.75" customHeight="1" s="28"/>
    <row r="648" ht="15.75" customHeight="1" s="28"/>
    <row r="649" ht="15.75" customHeight="1" s="28"/>
    <row r="650" ht="15.75" customHeight="1" s="28"/>
    <row r="651" ht="15.75" customHeight="1" s="28"/>
    <row r="652" ht="15.75" customHeight="1" s="28"/>
    <row r="653" ht="15.75" customHeight="1" s="28"/>
    <row r="654" ht="15.75" customHeight="1" s="28"/>
    <row r="655" ht="15.75" customHeight="1" s="28"/>
    <row r="656" ht="15.75" customHeight="1" s="28"/>
    <row r="657" ht="15.75" customHeight="1" s="28"/>
    <row r="658" ht="15.75" customHeight="1" s="28"/>
    <row r="659" ht="15.75" customHeight="1" s="28"/>
    <row r="660" ht="15.75" customHeight="1" s="28"/>
    <row r="661" ht="15.75" customHeight="1" s="28"/>
    <row r="662" ht="15.75" customHeight="1" s="28"/>
    <row r="663" ht="15.75" customHeight="1" s="28"/>
    <row r="664" ht="15.75" customHeight="1" s="28"/>
    <row r="665" ht="15.75" customHeight="1" s="28"/>
    <row r="666" ht="15.75" customHeight="1" s="28"/>
    <row r="667" ht="15.75" customHeight="1" s="28"/>
    <row r="668" ht="15.75" customHeight="1" s="28"/>
    <row r="669" ht="15.75" customHeight="1" s="28"/>
    <row r="670" ht="15.75" customHeight="1" s="28"/>
    <row r="671" ht="15.75" customHeight="1" s="28"/>
    <row r="672" ht="15.75" customHeight="1" s="28"/>
    <row r="673" ht="15.75" customHeight="1" s="28"/>
    <row r="674" ht="15.75" customHeight="1" s="28"/>
    <row r="675" ht="15.75" customHeight="1" s="28"/>
    <row r="676" ht="15.75" customHeight="1" s="28"/>
    <row r="677" ht="15.75" customHeight="1" s="28"/>
    <row r="678" ht="15.75" customHeight="1" s="28"/>
    <row r="679" ht="15.75" customHeight="1" s="28"/>
    <row r="680" ht="15.75" customHeight="1" s="28"/>
    <row r="681" ht="15.75" customHeight="1" s="28"/>
    <row r="682" ht="15.75" customHeight="1" s="28"/>
    <row r="683" ht="15.75" customHeight="1" s="28"/>
    <row r="684" ht="15.75" customHeight="1" s="28"/>
    <row r="685" ht="15.75" customHeight="1" s="28"/>
    <row r="686" ht="15.75" customHeight="1" s="28"/>
    <row r="687" ht="15.75" customHeight="1" s="28"/>
    <row r="688" ht="15.75" customHeight="1" s="28"/>
    <row r="689" ht="15.75" customHeight="1" s="28"/>
    <row r="690" ht="15.75" customHeight="1" s="28"/>
    <row r="691" ht="15.75" customHeight="1" s="28"/>
    <row r="692" ht="15.75" customHeight="1" s="28"/>
    <row r="693" ht="15.75" customHeight="1" s="28"/>
    <row r="694" ht="15.75" customHeight="1" s="28"/>
    <row r="695" ht="15.75" customHeight="1" s="28"/>
    <row r="696" ht="15.75" customHeight="1" s="28"/>
    <row r="697" ht="15.75" customHeight="1" s="28"/>
    <row r="698" ht="15.75" customHeight="1" s="28"/>
    <row r="699" ht="15.75" customHeight="1" s="28"/>
    <row r="700" ht="15.75" customHeight="1" s="28"/>
    <row r="701" ht="15.75" customHeight="1" s="28"/>
    <row r="702" ht="15.75" customHeight="1" s="28"/>
    <row r="703" ht="15.75" customHeight="1" s="28"/>
    <row r="704" ht="15.75" customHeight="1" s="28"/>
    <row r="705" ht="15.75" customHeight="1" s="28"/>
    <row r="706" ht="15.75" customHeight="1" s="28"/>
    <row r="707" ht="15.75" customHeight="1" s="28"/>
    <row r="708" ht="15.75" customHeight="1" s="28"/>
    <row r="709" ht="15.75" customHeight="1" s="28"/>
    <row r="710" ht="15.75" customHeight="1" s="28"/>
    <row r="711" ht="15.75" customHeight="1" s="28"/>
    <row r="712" ht="15.75" customHeight="1" s="28"/>
    <row r="713" ht="15.75" customHeight="1" s="28"/>
    <row r="714" ht="15.75" customHeight="1" s="28"/>
    <row r="715" ht="15.75" customHeight="1" s="28"/>
    <row r="716" ht="15.75" customHeight="1" s="28"/>
    <row r="717" ht="15.75" customHeight="1" s="28"/>
    <row r="718" ht="15.75" customHeight="1" s="28"/>
    <row r="719" ht="15.75" customHeight="1" s="28"/>
    <row r="720" ht="15.75" customHeight="1" s="28"/>
    <row r="721" ht="15.75" customHeight="1" s="28"/>
    <row r="722" ht="15.75" customHeight="1" s="28"/>
    <row r="723" ht="15.75" customHeight="1" s="28"/>
    <row r="724" ht="15.75" customHeight="1" s="28"/>
    <row r="725" ht="15.75" customHeight="1" s="28"/>
    <row r="726" ht="15.75" customHeight="1" s="28"/>
    <row r="727" ht="15.75" customHeight="1" s="28"/>
    <row r="728" ht="15.75" customHeight="1" s="28"/>
    <row r="729" ht="15.75" customHeight="1" s="28"/>
    <row r="730" ht="15.75" customHeight="1" s="28"/>
    <row r="731" ht="15.75" customHeight="1" s="28"/>
    <row r="732" ht="15.75" customHeight="1" s="28"/>
    <row r="733" ht="15.75" customHeight="1" s="28"/>
    <row r="734" ht="15.75" customHeight="1" s="28"/>
    <row r="735" ht="15.75" customHeight="1" s="28"/>
    <row r="736" ht="15.75" customHeight="1" s="28"/>
    <row r="737" ht="15.75" customHeight="1" s="28"/>
    <row r="738" ht="15.75" customHeight="1" s="28"/>
    <row r="739" ht="15.75" customHeight="1" s="28"/>
    <row r="740" ht="15.75" customHeight="1" s="28"/>
    <row r="741" ht="15.75" customHeight="1" s="28"/>
    <row r="742" ht="15.75" customHeight="1" s="28"/>
    <row r="743" ht="15.75" customHeight="1" s="28"/>
    <row r="744" ht="15.75" customHeight="1" s="28"/>
    <row r="745" ht="15.75" customHeight="1" s="28"/>
    <row r="746" ht="15.75" customHeight="1" s="28"/>
    <row r="747" ht="15.75" customHeight="1" s="28"/>
    <row r="748" ht="15.75" customHeight="1" s="28"/>
    <row r="749" ht="15.75" customHeight="1" s="28"/>
    <row r="750" ht="15.75" customHeight="1" s="28"/>
    <row r="751" ht="15.75" customHeight="1" s="28"/>
    <row r="752" ht="15.75" customHeight="1" s="28"/>
    <row r="753" ht="15.75" customHeight="1" s="28"/>
    <row r="754" ht="15.75" customHeight="1" s="28"/>
    <row r="755" ht="15.75" customHeight="1" s="28"/>
    <row r="756" ht="15.75" customHeight="1" s="28"/>
    <row r="757" ht="15.75" customHeight="1" s="28"/>
    <row r="758" ht="15.75" customHeight="1" s="28"/>
    <row r="759" ht="15.75" customHeight="1" s="28"/>
    <row r="760" ht="15.75" customHeight="1" s="28"/>
    <row r="761" ht="15.75" customHeight="1" s="28"/>
    <row r="762" ht="15.75" customHeight="1" s="28"/>
    <row r="763" ht="15.75" customHeight="1" s="28"/>
    <row r="764" ht="15.75" customHeight="1" s="28"/>
    <row r="765" ht="15.75" customHeight="1" s="28"/>
    <row r="766" ht="15.75" customHeight="1" s="28"/>
    <row r="767" ht="15.75" customHeight="1" s="28"/>
    <row r="768" ht="15.75" customHeight="1" s="28"/>
    <row r="769" ht="15.75" customHeight="1" s="28"/>
    <row r="770" ht="15.75" customHeight="1" s="28"/>
    <row r="771" ht="15.75" customHeight="1" s="28"/>
    <row r="772" ht="15.75" customHeight="1" s="28"/>
    <row r="773" ht="15.75" customHeight="1" s="28"/>
    <row r="774" ht="15.75" customHeight="1" s="28"/>
    <row r="775" ht="15.75" customHeight="1" s="28"/>
    <row r="776" ht="15.75" customHeight="1" s="28"/>
    <row r="777" ht="15.75" customHeight="1" s="28"/>
    <row r="778" ht="15.75" customHeight="1" s="28"/>
    <row r="779" ht="15.75" customHeight="1" s="28"/>
    <row r="780" ht="15.75" customHeight="1" s="28"/>
    <row r="781" ht="15.75" customHeight="1" s="28"/>
    <row r="782" ht="15.75" customHeight="1" s="28"/>
    <row r="783" ht="15.75" customHeight="1" s="28"/>
    <row r="784" ht="15.75" customHeight="1" s="28"/>
    <row r="785" ht="15.75" customHeight="1" s="28"/>
    <row r="786" ht="15.75" customHeight="1" s="28"/>
    <row r="787" ht="15.75" customHeight="1" s="28"/>
    <row r="788" ht="15.75" customHeight="1" s="28"/>
    <row r="789" ht="15.75" customHeight="1" s="28"/>
    <row r="790" ht="15.75" customHeight="1" s="28"/>
    <row r="791" ht="15.75" customHeight="1" s="28"/>
    <row r="792" ht="15.75" customHeight="1" s="28"/>
    <row r="793" ht="15.75" customHeight="1" s="28"/>
    <row r="794" ht="15.75" customHeight="1" s="28"/>
    <row r="795" ht="15.75" customHeight="1" s="28"/>
    <row r="796" ht="15.75" customHeight="1" s="28"/>
    <row r="797" ht="15.75" customHeight="1" s="28"/>
    <row r="798" ht="15.75" customHeight="1" s="28"/>
    <row r="799" ht="15.75" customHeight="1" s="28"/>
    <row r="800" ht="15.75" customHeight="1" s="28"/>
    <row r="801" ht="15.75" customHeight="1" s="28"/>
    <row r="802" ht="15.75" customHeight="1" s="28"/>
    <row r="803" ht="15.75" customHeight="1" s="28"/>
    <row r="804" ht="15.75" customHeight="1" s="28"/>
    <row r="805" ht="15.75" customHeight="1" s="28"/>
    <row r="806" ht="15.75" customHeight="1" s="28"/>
    <row r="807" ht="15.75" customHeight="1" s="28"/>
    <row r="808" ht="15.75" customHeight="1" s="28"/>
    <row r="809" ht="15.75" customHeight="1" s="28"/>
    <row r="810" ht="15.75" customHeight="1" s="28"/>
    <row r="811" ht="15.75" customHeight="1" s="28"/>
    <row r="812" ht="15.75" customHeight="1" s="28"/>
    <row r="813" ht="15.75" customHeight="1" s="28"/>
    <row r="814" ht="15.75" customHeight="1" s="28"/>
    <row r="815" ht="15.75" customHeight="1" s="28"/>
    <row r="816" ht="15.75" customHeight="1" s="28"/>
    <row r="817" ht="15.75" customHeight="1" s="28"/>
    <row r="818" ht="15.75" customHeight="1" s="28"/>
    <row r="819" ht="15.75" customHeight="1" s="28"/>
    <row r="820" ht="15.75" customHeight="1" s="28"/>
    <row r="821" ht="15.75" customHeight="1" s="28"/>
    <row r="822" ht="15.75" customHeight="1" s="28"/>
    <row r="823" ht="15.75" customHeight="1" s="28"/>
    <row r="824" ht="15.75" customHeight="1" s="28"/>
    <row r="825" ht="15.75" customHeight="1" s="28"/>
    <row r="826" ht="15.75" customHeight="1" s="28"/>
    <row r="827" ht="15.75" customHeight="1" s="28"/>
    <row r="828" ht="15.75" customHeight="1" s="28"/>
    <row r="829" ht="15.75" customHeight="1" s="28"/>
    <row r="830" ht="15.75" customHeight="1" s="28"/>
    <row r="831" ht="15.75" customHeight="1" s="28"/>
    <row r="832" ht="15.75" customHeight="1" s="28"/>
    <row r="833" ht="15.75" customHeight="1" s="28"/>
    <row r="834" ht="15.75" customHeight="1" s="28"/>
    <row r="835" ht="15.75" customHeight="1" s="28"/>
    <row r="836" ht="15.75" customHeight="1" s="28"/>
    <row r="837" ht="15.75" customHeight="1" s="28"/>
    <row r="838" ht="15.75" customHeight="1" s="28"/>
    <row r="839" ht="15.75" customHeight="1" s="28"/>
    <row r="840" ht="15.75" customHeight="1" s="28"/>
    <row r="841" ht="15.75" customHeight="1" s="28"/>
    <row r="842" ht="15.75" customHeight="1" s="28"/>
    <row r="843" ht="15.75" customHeight="1" s="28"/>
    <row r="844" ht="15.75" customHeight="1" s="28"/>
    <row r="845" ht="15.75" customHeight="1" s="28"/>
    <row r="846" ht="15.75" customHeight="1" s="28"/>
    <row r="847" ht="15.75" customHeight="1" s="28"/>
    <row r="848" ht="15.75" customHeight="1" s="28"/>
    <row r="849" ht="15.75" customHeight="1" s="28"/>
    <row r="850" ht="15.75" customHeight="1" s="28"/>
    <row r="851" ht="15.75" customHeight="1" s="28"/>
    <row r="852" ht="15.75" customHeight="1" s="28"/>
    <row r="853" ht="15.75" customHeight="1" s="28"/>
    <row r="854" ht="15.75" customHeight="1" s="28"/>
    <row r="855" ht="15.75" customHeight="1" s="28"/>
    <row r="856" ht="15.75" customHeight="1" s="28"/>
    <row r="857" ht="15.75" customHeight="1" s="28"/>
    <row r="858" ht="15.75" customHeight="1" s="28"/>
    <row r="859" ht="15.75" customHeight="1" s="28"/>
    <row r="860" ht="15.75" customHeight="1" s="28"/>
    <row r="861" ht="15.75" customHeight="1" s="28"/>
    <row r="862" ht="15.75" customHeight="1" s="28"/>
    <row r="863" ht="15.75" customHeight="1" s="28"/>
    <row r="864" ht="15.75" customHeight="1" s="28"/>
    <row r="865" ht="15.75" customHeight="1" s="28"/>
    <row r="866" ht="15.75" customHeight="1" s="28"/>
    <row r="867" ht="15.75" customHeight="1" s="28"/>
    <row r="868" ht="15.75" customHeight="1" s="28"/>
    <row r="869" ht="15.75" customHeight="1" s="28"/>
    <row r="870" ht="15.75" customHeight="1" s="28"/>
    <row r="871" ht="15.75" customHeight="1" s="28"/>
    <row r="872" ht="15.75" customHeight="1" s="28"/>
    <row r="873" ht="15.75" customHeight="1" s="28"/>
    <row r="874" ht="15.75" customHeight="1" s="28"/>
    <row r="875" ht="15.75" customHeight="1" s="28"/>
    <row r="876" ht="15.75" customHeight="1" s="28"/>
    <row r="877" ht="15.75" customHeight="1" s="28"/>
    <row r="878" ht="15.75" customHeight="1" s="28"/>
    <row r="879" ht="15.75" customHeight="1" s="28"/>
    <row r="880" ht="15.75" customHeight="1" s="28"/>
    <row r="881" ht="15.75" customHeight="1" s="28"/>
    <row r="882" ht="15.75" customHeight="1" s="28"/>
    <row r="883" ht="15.75" customHeight="1" s="28"/>
    <row r="884" ht="15.75" customHeight="1" s="28"/>
    <row r="885" ht="15.75" customHeight="1" s="28"/>
    <row r="886" ht="15.75" customHeight="1" s="28"/>
    <row r="887" ht="15.75" customHeight="1" s="28"/>
    <row r="888" ht="15.75" customHeight="1" s="28"/>
    <row r="889" ht="15.75" customHeight="1" s="28"/>
    <row r="890" ht="15.75" customHeight="1" s="28"/>
    <row r="891" ht="15.75" customHeight="1" s="28"/>
    <row r="892" ht="15.75" customHeight="1" s="28"/>
    <row r="893" ht="15.75" customHeight="1" s="28"/>
    <row r="894" ht="15.75" customHeight="1" s="28"/>
    <row r="895" ht="15.75" customHeight="1" s="28"/>
    <row r="896" ht="15.75" customHeight="1" s="28"/>
    <row r="897" ht="15.75" customHeight="1" s="28"/>
    <row r="898" ht="15.75" customHeight="1" s="28"/>
    <row r="899" ht="15.75" customHeight="1" s="28"/>
    <row r="900" ht="15.75" customHeight="1" s="28"/>
    <row r="901" ht="15.75" customHeight="1" s="28"/>
    <row r="902" ht="15.75" customHeight="1" s="28"/>
    <row r="903" ht="15.75" customHeight="1" s="28"/>
    <row r="904" ht="15.75" customHeight="1" s="28"/>
    <row r="905" ht="15.75" customHeight="1" s="28"/>
    <row r="906" ht="15.75" customHeight="1" s="28"/>
    <row r="907" ht="15.75" customHeight="1" s="28"/>
    <row r="908" ht="15.75" customHeight="1" s="28"/>
    <row r="909" ht="15.75" customHeight="1" s="28"/>
    <row r="910" ht="15.75" customHeight="1" s="28"/>
    <row r="911" ht="15.75" customHeight="1" s="28"/>
    <row r="912" ht="15.75" customHeight="1" s="28"/>
    <row r="913" ht="15.75" customHeight="1" s="28"/>
    <row r="914" ht="15.75" customHeight="1" s="28"/>
    <row r="915" ht="15.75" customHeight="1" s="28"/>
    <row r="916" ht="15.75" customHeight="1" s="28"/>
    <row r="917" ht="15.75" customHeight="1" s="28"/>
    <row r="918" ht="15.75" customHeight="1" s="28"/>
    <row r="919" ht="15.75" customHeight="1" s="28"/>
    <row r="920" ht="15.75" customHeight="1" s="28"/>
    <row r="921" ht="15.75" customHeight="1" s="28"/>
    <row r="922" ht="15.75" customHeight="1" s="28"/>
    <row r="923" ht="15.75" customHeight="1" s="28"/>
    <row r="924" ht="15.75" customHeight="1" s="28"/>
    <row r="925" ht="15.75" customHeight="1" s="28"/>
    <row r="926" ht="15.75" customHeight="1" s="28"/>
    <row r="927" ht="15.75" customHeight="1" s="28"/>
    <row r="928" ht="15.75" customHeight="1" s="28"/>
    <row r="929" ht="15.75" customHeight="1" s="28"/>
    <row r="930" ht="15.75" customHeight="1" s="28"/>
    <row r="931" ht="15.75" customHeight="1" s="28"/>
    <row r="932" ht="15.75" customHeight="1" s="28"/>
    <row r="933" ht="15.75" customHeight="1" s="28"/>
    <row r="934" ht="15.75" customHeight="1" s="28"/>
    <row r="935" ht="15.75" customHeight="1" s="28"/>
    <row r="936" ht="15.75" customHeight="1" s="28"/>
    <row r="937" ht="15.75" customHeight="1" s="28"/>
    <row r="938" ht="15.75" customHeight="1" s="28"/>
    <row r="939" ht="15.75" customHeight="1" s="28"/>
    <row r="940" ht="15.75" customHeight="1" s="28"/>
    <row r="941" ht="15.75" customHeight="1" s="28"/>
    <row r="942" ht="15.75" customHeight="1" s="28"/>
    <row r="943" ht="15.75" customHeight="1" s="28"/>
    <row r="944" ht="15.75" customHeight="1" s="28"/>
    <row r="945" ht="15.75" customHeight="1" s="28"/>
    <row r="946" ht="15.75" customHeight="1" s="28"/>
    <row r="947" ht="15.75" customHeight="1" s="28"/>
    <row r="948" ht="15.75" customHeight="1" s="28"/>
    <row r="949" ht="15.75" customHeight="1" s="28"/>
    <row r="950" ht="15.75" customHeight="1" s="28"/>
    <row r="951" ht="15.75" customHeight="1" s="28"/>
    <row r="952" ht="15.75" customHeight="1" s="28"/>
    <row r="953" ht="15.75" customHeight="1" s="28"/>
    <row r="954" ht="15.75" customHeight="1" s="28"/>
    <row r="955" ht="15.75" customHeight="1" s="28"/>
    <row r="956" ht="15.75" customHeight="1" s="28"/>
    <row r="957" ht="15.75" customHeight="1" s="28"/>
    <row r="958" ht="15.75" customHeight="1" s="28"/>
    <row r="959" ht="15.75" customHeight="1" s="28"/>
    <row r="960" ht="15.75" customHeight="1" s="28"/>
    <row r="961" ht="15.75" customHeight="1" s="28"/>
    <row r="962" ht="15.75" customHeight="1" s="28"/>
    <row r="963" ht="15.75" customHeight="1" s="28"/>
    <row r="964" ht="15.75" customHeight="1" s="28"/>
    <row r="965" ht="15.75" customHeight="1" s="28"/>
    <row r="966" ht="15.75" customHeight="1" s="28"/>
    <row r="967" ht="15.75" customHeight="1" s="28"/>
    <row r="968" ht="15.75" customHeight="1" s="28"/>
    <row r="969" ht="15.75" customHeight="1" s="28"/>
    <row r="970" ht="15.75" customHeight="1" s="28"/>
    <row r="971" ht="15.75" customHeight="1" s="28"/>
    <row r="972" ht="15.75" customHeight="1" s="28"/>
    <row r="973" ht="15.75" customHeight="1" s="28"/>
    <row r="974" ht="15.75" customHeight="1" s="28"/>
    <row r="975" ht="15.75" customHeight="1" s="28"/>
    <row r="976" ht="15.75" customHeight="1" s="28"/>
    <row r="977" ht="15.75" customHeight="1" s="28"/>
    <row r="978" ht="15.75" customHeight="1" s="28"/>
    <row r="979" ht="15.75" customHeight="1" s="28"/>
    <row r="980" ht="15.75" customHeight="1" s="28"/>
    <row r="981" ht="15.75" customHeight="1" s="28"/>
    <row r="982" ht="15.75" customHeight="1" s="28"/>
    <row r="983" ht="15.75" customHeight="1" s="28"/>
    <row r="984" ht="15.75" customHeight="1" s="28"/>
    <row r="985" ht="15.75" customHeight="1" s="28"/>
    <row r="986" ht="15.75" customHeight="1" s="28"/>
    <row r="987" ht="15.75" customHeight="1" s="28"/>
    <row r="988" ht="15.75" customHeight="1" s="28"/>
    <row r="989" ht="15.75" customHeight="1" s="28"/>
    <row r="990" ht="15.75" customHeight="1" s="28"/>
    <row r="991" ht="15.75" customHeight="1" s="28"/>
    <row r="992" ht="15.75" customHeight="1" s="28"/>
    <row r="993" ht="15.75" customHeight="1" s="28"/>
    <row r="994" ht="15.75" customHeight="1" s="28"/>
    <row r="995" ht="15.75" customHeight="1" s="28"/>
    <row r="996" ht="15.75" customHeight="1" s="28"/>
    <row r="997" ht="15.75" customHeight="1" s="28"/>
    <row r="998" ht="15.75" customHeight="1" s="28"/>
    <row r="999" ht="15.75" customHeight="1" s="28"/>
    <row r="1000" ht="15.75" customHeight="1" s="28"/>
  </sheetData>
  <mergeCells count="1">
    <mergeCell ref="A1:D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ColWidth="14.43" defaultRowHeight="15" customHeight="1"/>
  <cols>
    <col width="80" customWidth="1" style="28" min="1" max="1"/>
    <col width="8.710000000000001" customWidth="1" style="28" min="2" max="26"/>
  </cols>
  <sheetData>
    <row r="1">
      <c r="A1" s="25" t="inlineStr">
        <is>
          <t>FORT SMITH FUEL CONSUMPTION TRACKER</t>
        </is>
      </c>
    </row>
    <row r="2">
      <c r="A2" s="26" t="n"/>
    </row>
    <row r="3">
      <c r="A3" s="27" t="inlineStr">
        <is>
          <t>HOW TO USE THIS WORKBOOK:</t>
        </is>
      </c>
    </row>
    <row r="4">
      <c r="A4" s="26" t="n"/>
    </row>
    <row r="5">
      <c r="A5" s="22" t="inlineStr">
        <is>
          <t>1. DOWNLOAD WEATHER DATA</t>
        </is>
      </c>
    </row>
    <row r="6">
      <c r="A6" s="26" t="inlineStr">
        <is>
          <t xml:space="preserve">   • Go to: https://climate.weather.gc.ca/historical_data/search_historic_data_e.html</t>
        </is>
      </c>
    </row>
    <row r="7">
      <c r="A7" s="26" t="inlineStr">
        <is>
          <t xml:space="preserve">   • Search for: Fort Smith A (Station ID: 2202201)</t>
        </is>
      </c>
    </row>
    <row r="8">
      <c r="A8" s="26" t="inlineStr">
        <is>
          <t xml:space="preserve">   • Select: Daily data</t>
        </is>
      </c>
    </row>
    <row r="9">
      <c r="A9" s="26" t="inlineStr">
        <is>
          <t xml:space="preserve">   • Download: September, October, November 2025</t>
        </is>
      </c>
    </row>
    <row r="10">
      <c r="A10" s="26" t="inlineStr">
        <is>
          <t xml:space="preserve">   • Copy Max Temp and Min Temp columns into the 'Weather Data' sheet</t>
        </is>
      </c>
    </row>
    <row r="11">
      <c r="A11" s="26" t="n"/>
    </row>
    <row r="12">
      <c r="A12" s="22" t="inlineStr">
        <is>
          <t>2. RECORD FUEL FILLS</t>
        </is>
      </c>
    </row>
    <row r="13">
      <c r="A13" s="26" t="inlineStr">
        <is>
          <t xml:space="preserve">   • Update the 'Fuel Fills' sheet with each delivery</t>
        </is>
      </c>
    </row>
    <row r="14">
      <c r="A14" s="26" t="inlineStr">
        <is>
          <t xml:space="preserve">   • Record: Date, gauge reading before fill, liters added</t>
        </is>
      </c>
    </row>
    <row r="15">
      <c r="A15" s="26" t="inlineStr">
        <is>
          <t xml:space="preserve">   • Record: Price per liter and total cost</t>
        </is>
      </c>
    </row>
    <row r="16">
      <c r="A16" s="26" t="inlineStr">
        <is>
          <t xml:space="preserve">   • Total cost will auto-calculate if you enter price/liter</t>
        </is>
      </c>
    </row>
    <row r="17">
      <c r="A17" s="26" t="n"/>
    </row>
    <row r="18">
      <c r="A18" s="22" t="inlineStr">
        <is>
          <t>3. VIEW ANALYSIS</t>
        </is>
      </c>
    </row>
    <row r="19">
      <c r="A19" s="26" t="inlineStr">
        <is>
          <t xml:space="preserve">   • Check the 'Analysis' sheet for your fuel efficiency (L/HDD)</t>
        </is>
      </c>
    </row>
    <row r="20">
      <c r="A20" s="26" t="inlineStr">
        <is>
          <t xml:space="preserve">   • This ratio tells you how much fuel you burn per heating degree day</t>
        </is>
      </c>
    </row>
    <row r="21" ht="15.75" customHeight="1" s="28">
      <c r="A21" s="26" t="inlineStr">
        <is>
          <t xml:space="preserve">   • View cost analysis showing total spending and monthly projections</t>
        </is>
      </c>
    </row>
    <row r="22" ht="15.75" customHeight="1" s="28">
      <c r="A22" s="26" t="inlineStr">
        <is>
          <t xml:space="preserve">   • Update the estimated price/L (yellow cell) to project future costs</t>
        </is>
      </c>
    </row>
    <row r="23" ht="15.75" customHeight="1" s="28">
      <c r="A23" s="26" t="n"/>
    </row>
    <row r="24" ht="15.75" customHeight="1" s="28">
      <c r="A24" s="22" t="inlineStr">
        <is>
          <t>4. PREDICT FUTURE CONSUMPTION</t>
        </is>
      </c>
    </row>
    <row r="25" ht="15.75" customHeight="1" s="28">
      <c r="A25" s="26" t="inlineStr">
        <is>
          <t xml:space="preserve">   • Use weather forecasts to estimate HDD</t>
        </is>
      </c>
    </row>
    <row r="26" ht="15.75" customHeight="1" s="28">
      <c r="A26" s="26" t="inlineStr">
        <is>
          <t xml:space="preserve">   • Or use the pre-calculated scenarios (mild/normal/deep winter)</t>
        </is>
      </c>
    </row>
    <row r="27" ht="15.75" customHeight="1" s="28">
      <c r="A27" s="26" t="inlineStr">
        <is>
          <t xml:space="preserve">   • Enter custom HDD/day in the yellow cell to see predictions</t>
        </is>
      </c>
    </row>
    <row r="28" ht="15.75" customHeight="1" s="28">
      <c r="A28" s="26" t="n"/>
    </row>
    <row r="29" ht="15.75" customHeight="1" s="28">
      <c r="A29" s="27" t="inlineStr">
        <is>
          <t>ABOUT HEATING DEGREE DAYS (HDD):</t>
        </is>
      </c>
    </row>
    <row r="30" ht="15.75" customHeight="1" s="28">
      <c r="A30" s="26" t="n"/>
    </row>
    <row r="31" ht="15.75" customHeight="1" s="28">
      <c r="A31" s="26" t="inlineStr">
        <is>
          <t>HDD measures how cold it is and how much heating you need.</t>
        </is>
      </c>
    </row>
    <row r="32" ht="15.75" customHeight="1" s="28">
      <c r="A32" s="26" t="inlineStr">
        <is>
          <t>Formula: HDD = max(0, 18°C - average daily temperature)</t>
        </is>
      </c>
    </row>
    <row r="33" ht="15.75" customHeight="1" s="28">
      <c r="A33" s="26" t="n"/>
    </row>
    <row r="34" ht="15.75" customHeight="1" s="28">
      <c r="A34" s="26" t="inlineStr">
        <is>
          <t>Examples:</t>
        </is>
      </c>
    </row>
    <row r="35" ht="15.75" customHeight="1" s="28">
      <c r="A35" s="26" t="inlineStr">
        <is>
          <t xml:space="preserve">  • If avg temp is -2°C: HDD = 18 - (-2) = 20 HDD</t>
        </is>
      </c>
    </row>
    <row r="36" ht="15.75" customHeight="1" s="28">
      <c r="A36" s="26" t="inlineStr">
        <is>
          <t xml:space="preserve">  • If avg temp is 10°C: HDD = 18 - 10 = 8 HDD</t>
        </is>
      </c>
    </row>
    <row r="37" ht="15.75" customHeight="1" s="28">
      <c r="A37" s="26" t="inlineStr">
        <is>
          <t xml:space="preserve">  • If avg temp is 20°C: HDD = 0 (no heating needed)</t>
        </is>
      </c>
    </row>
    <row r="38" ht="15.75" customHeight="1" s="28">
      <c r="A38" s="26" t="n"/>
    </row>
    <row r="39" ht="15.75" customHeight="1" s="28">
      <c r="A39" s="26" t="inlineStr">
        <is>
          <t>Typical Fort Smith HDD/day:</t>
        </is>
      </c>
    </row>
    <row r="40" ht="15.75" customHeight="1" s="28">
      <c r="A40" s="26" t="inlineStr">
        <is>
          <t xml:space="preserve">  • September: 5-8 HDD/day</t>
        </is>
      </c>
    </row>
    <row r="41" ht="15.75" customHeight="1" s="28">
      <c r="A41" s="26" t="inlineStr">
        <is>
          <t xml:space="preserve">  • October: 10-15 HDD/day</t>
        </is>
      </c>
    </row>
    <row r="42" ht="15.75" customHeight="1" s="28">
      <c r="A42" s="26" t="inlineStr">
        <is>
          <t xml:space="preserve">  • November: 15-20 HDD/day</t>
        </is>
      </c>
    </row>
    <row r="43" ht="15.75" customHeight="1" s="28">
      <c r="A43" s="26" t="inlineStr">
        <is>
          <t xml:space="preserve">  • December-February: 20-25+ HDD/day</t>
        </is>
      </c>
    </row>
    <row r="44" ht="15.75" customHeight="1" s="28">
      <c r="A44" s="26" t="inlineStr">
        <is>
          <t xml:space="preserve">  • March: 15-20 HDD/day</t>
        </is>
      </c>
    </row>
    <row r="45" ht="15.75" customHeight="1" s="28">
      <c r="A45" s="26" t="inlineStr">
        <is>
          <t xml:space="preserve">  • April: 8-12 HDD/day</t>
        </is>
      </c>
    </row>
    <row r="46" ht="15.75" customHeight="1" s="28"/>
    <row r="47" ht="15.75" customHeight="1" s="28"/>
    <row r="48" ht="15.75" customHeight="1" s="28"/>
    <row r="49" ht="15.75" customHeight="1" s="28"/>
    <row r="50" ht="15.75" customHeight="1" s="28"/>
    <row r="51" ht="15.75" customHeight="1" s="28"/>
    <row r="52" ht="15.75" customHeight="1" s="28"/>
    <row r="53" ht="15.75" customHeight="1" s="28"/>
    <row r="54" ht="15.75" customHeight="1" s="28"/>
    <row r="55" ht="15.75" customHeight="1" s="28"/>
    <row r="56" ht="15.75" customHeight="1" s="28"/>
    <row r="57" ht="15.75" customHeight="1" s="28"/>
    <row r="58" ht="15.75" customHeight="1" s="28"/>
    <row r="59" ht="15.75" customHeight="1" s="28"/>
    <row r="60" ht="15.75" customHeight="1" s="28"/>
    <row r="61" ht="15.75" customHeight="1" s="28"/>
    <row r="62" ht="15.75" customHeight="1" s="28"/>
    <row r="63" ht="15.75" customHeight="1" s="28"/>
    <row r="64" ht="15.75" customHeight="1" s="28"/>
    <row r="65" ht="15.75" customHeight="1" s="28"/>
    <row r="66" ht="15.75" customHeight="1" s="28"/>
    <row r="67" ht="15.75" customHeight="1" s="28"/>
    <row r="68" ht="15.75" customHeight="1" s="28"/>
    <row r="69" ht="15.75" customHeight="1" s="28"/>
    <row r="70" ht="15.75" customHeight="1" s="28"/>
    <row r="71" ht="15.75" customHeight="1" s="28"/>
    <row r="72" ht="15.75" customHeight="1" s="28"/>
    <row r="73" ht="15.75" customHeight="1" s="28"/>
    <row r="74" ht="15.75" customHeight="1" s="28"/>
    <row r="75" ht="15.75" customHeight="1" s="28"/>
    <row r="76" ht="15.75" customHeight="1" s="28"/>
    <row r="77" ht="15.75" customHeight="1" s="28"/>
    <row r="78" ht="15.75" customHeight="1" s="28"/>
    <row r="79" ht="15.75" customHeight="1" s="28"/>
    <row r="80" ht="15.75" customHeight="1" s="28"/>
    <row r="81" ht="15.75" customHeight="1" s="28"/>
    <row r="82" ht="15.75" customHeight="1" s="28"/>
    <row r="83" ht="15.75" customHeight="1" s="28"/>
    <row r="84" ht="15.75" customHeight="1" s="28"/>
    <row r="85" ht="15.75" customHeight="1" s="28"/>
    <row r="86" ht="15.75" customHeight="1" s="28"/>
    <row r="87" ht="15.75" customHeight="1" s="28"/>
    <row r="88" ht="15.75" customHeight="1" s="28"/>
    <row r="89" ht="15.75" customHeight="1" s="28"/>
    <row r="90" ht="15.75" customHeight="1" s="28"/>
    <row r="91" ht="15.75" customHeight="1" s="28"/>
    <row r="92" ht="15.75" customHeight="1" s="28"/>
    <row r="93" ht="15.75" customHeight="1" s="28"/>
    <row r="94" ht="15.75" customHeight="1" s="28"/>
    <row r="95" ht="15.75" customHeight="1" s="28"/>
    <row r="96" ht="15.75" customHeight="1" s="28"/>
    <row r="97" ht="15.75" customHeight="1" s="28"/>
    <row r="98" ht="15.75" customHeight="1" s="28"/>
    <row r="99" ht="15.75" customHeight="1" s="28"/>
    <row r="100" ht="15.75" customHeight="1" s="28"/>
    <row r="101" ht="15.75" customHeight="1" s="28"/>
    <row r="102" ht="15.75" customHeight="1" s="28"/>
    <row r="103" ht="15.75" customHeight="1" s="28"/>
    <row r="104" ht="15.75" customHeight="1" s="28"/>
    <row r="105" ht="15.75" customHeight="1" s="28"/>
    <row r="106" ht="15.75" customHeight="1" s="28"/>
    <row r="107" ht="15.75" customHeight="1" s="28"/>
    <row r="108" ht="15.75" customHeight="1" s="28"/>
    <row r="109" ht="15.75" customHeight="1" s="28"/>
    <row r="110" ht="15.75" customHeight="1" s="28"/>
    <row r="111" ht="15.75" customHeight="1" s="28"/>
    <row r="112" ht="15.75" customHeight="1" s="28"/>
    <row r="113" ht="15.75" customHeight="1" s="28"/>
    <row r="114" ht="15.75" customHeight="1" s="28"/>
    <row r="115" ht="15.75" customHeight="1" s="28"/>
    <row r="116" ht="15.75" customHeight="1" s="28"/>
    <row r="117" ht="15.75" customHeight="1" s="28"/>
    <row r="118" ht="15.75" customHeight="1" s="28"/>
    <row r="119" ht="15.75" customHeight="1" s="28"/>
    <row r="120" ht="15.75" customHeight="1" s="28"/>
    <row r="121" ht="15.75" customHeight="1" s="28"/>
    <row r="122" ht="15.75" customHeight="1" s="28"/>
    <row r="123" ht="15.75" customHeight="1" s="28"/>
    <row r="124" ht="15.75" customHeight="1" s="28"/>
    <row r="125" ht="15.75" customHeight="1" s="28"/>
    <row r="126" ht="15.75" customHeight="1" s="28"/>
    <row r="127" ht="15.75" customHeight="1" s="28"/>
    <row r="128" ht="15.75" customHeight="1" s="28"/>
    <row r="129" ht="15.75" customHeight="1" s="28"/>
    <row r="130" ht="15.75" customHeight="1" s="28"/>
    <row r="131" ht="15.75" customHeight="1" s="28"/>
    <row r="132" ht="15.75" customHeight="1" s="28"/>
    <row r="133" ht="15.75" customHeight="1" s="28"/>
    <row r="134" ht="15.75" customHeight="1" s="28"/>
    <row r="135" ht="15.75" customHeight="1" s="28"/>
    <row r="136" ht="15.75" customHeight="1" s="28"/>
    <row r="137" ht="15.75" customHeight="1" s="28"/>
    <row r="138" ht="15.75" customHeight="1" s="28"/>
    <row r="139" ht="15.75" customHeight="1" s="28"/>
    <row r="140" ht="15.75" customHeight="1" s="28"/>
    <row r="141" ht="15.75" customHeight="1" s="28"/>
    <row r="142" ht="15.75" customHeight="1" s="28"/>
    <row r="143" ht="15.75" customHeight="1" s="28"/>
    <row r="144" ht="15.75" customHeight="1" s="28"/>
    <row r="145" ht="15.75" customHeight="1" s="28"/>
    <row r="146" ht="15.75" customHeight="1" s="28"/>
    <row r="147" ht="15.75" customHeight="1" s="28"/>
    <row r="148" ht="15.75" customHeight="1" s="28"/>
    <row r="149" ht="15.75" customHeight="1" s="28"/>
    <row r="150" ht="15.75" customHeight="1" s="28"/>
    <row r="151" ht="15.75" customHeight="1" s="28"/>
    <row r="152" ht="15.75" customHeight="1" s="28"/>
    <row r="153" ht="15.75" customHeight="1" s="28"/>
    <row r="154" ht="15.75" customHeight="1" s="28"/>
    <row r="155" ht="15.75" customHeight="1" s="28"/>
    <row r="156" ht="15.75" customHeight="1" s="28"/>
    <row r="157" ht="15.75" customHeight="1" s="28"/>
    <row r="158" ht="15.75" customHeight="1" s="28"/>
    <row r="159" ht="15.75" customHeight="1" s="28"/>
    <row r="160" ht="15.75" customHeight="1" s="28"/>
    <row r="161" ht="15.75" customHeight="1" s="28"/>
    <row r="162" ht="15.75" customHeight="1" s="28"/>
    <row r="163" ht="15.75" customHeight="1" s="28"/>
    <row r="164" ht="15.75" customHeight="1" s="28"/>
    <row r="165" ht="15.75" customHeight="1" s="28"/>
    <row r="166" ht="15.75" customHeight="1" s="28"/>
    <row r="167" ht="15.75" customHeight="1" s="28"/>
    <row r="168" ht="15.75" customHeight="1" s="28"/>
    <row r="169" ht="15.75" customHeight="1" s="28"/>
    <row r="170" ht="15.75" customHeight="1" s="28"/>
    <row r="171" ht="15.75" customHeight="1" s="28"/>
    <row r="172" ht="15.75" customHeight="1" s="28"/>
    <row r="173" ht="15.75" customHeight="1" s="28"/>
    <row r="174" ht="15.75" customHeight="1" s="28"/>
    <row r="175" ht="15.75" customHeight="1" s="28"/>
    <row r="176" ht="15.75" customHeight="1" s="28"/>
    <row r="177" ht="15.75" customHeight="1" s="28"/>
    <row r="178" ht="15.75" customHeight="1" s="28"/>
    <row r="179" ht="15.75" customHeight="1" s="28"/>
    <row r="180" ht="15.75" customHeight="1" s="28"/>
    <row r="181" ht="15.75" customHeight="1" s="28"/>
    <row r="182" ht="15.75" customHeight="1" s="28"/>
    <row r="183" ht="15.75" customHeight="1" s="28"/>
    <row r="184" ht="15.75" customHeight="1" s="28"/>
    <row r="185" ht="15.75" customHeight="1" s="28"/>
    <row r="186" ht="15.75" customHeight="1" s="28"/>
    <row r="187" ht="15.75" customHeight="1" s="28"/>
    <row r="188" ht="15.75" customHeight="1" s="28"/>
    <row r="189" ht="15.75" customHeight="1" s="28"/>
    <row r="190" ht="15.75" customHeight="1" s="28"/>
    <row r="191" ht="15.75" customHeight="1" s="28"/>
    <row r="192" ht="15.75" customHeight="1" s="28"/>
    <row r="193" ht="15.75" customHeight="1" s="28"/>
    <row r="194" ht="15.75" customHeight="1" s="28"/>
    <row r="195" ht="15.75" customHeight="1" s="28"/>
    <row r="196" ht="15.75" customHeight="1" s="28"/>
    <row r="197" ht="15.75" customHeight="1" s="28"/>
    <row r="198" ht="15.75" customHeight="1" s="28"/>
    <row r="199" ht="15.75" customHeight="1" s="28"/>
    <row r="200" ht="15.75" customHeight="1" s="28"/>
    <row r="201" ht="15.75" customHeight="1" s="28"/>
    <row r="202" ht="15.75" customHeight="1" s="28"/>
    <row r="203" ht="15.75" customHeight="1" s="28"/>
    <row r="204" ht="15.75" customHeight="1" s="28"/>
    <row r="205" ht="15.75" customHeight="1" s="28"/>
    <row r="206" ht="15.75" customHeight="1" s="28"/>
    <row r="207" ht="15.75" customHeight="1" s="28"/>
    <row r="208" ht="15.75" customHeight="1" s="28"/>
    <row r="209" ht="15.75" customHeight="1" s="28"/>
    <row r="210" ht="15.75" customHeight="1" s="28"/>
    <row r="211" ht="15.75" customHeight="1" s="28"/>
    <row r="212" ht="15.75" customHeight="1" s="28"/>
    <row r="213" ht="15.75" customHeight="1" s="28"/>
    <row r="214" ht="15.75" customHeight="1" s="28"/>
    <row r="215" ht="15.75" customHeight="1" s="28"/>
    <row r="216" ht="15.75" customHeight="1" s="28"/>
    <row r="217" ht="15.75" customHeight="1" s="28"/>
    <row r="218" ht="15.75" customHeight="1" s="28"/>
    <row r="219" ht="15.75" customHeight="1" s="28"/>
    <row r="220" ht="15.75" customHeight="1" s="28"/>
    <row r="221" ht="15.75" customHeight="1" s="28"/>
    <row r="222" ht="15.75" customHeight="1" s="28"/>
    <row r="223" ht="15.75" customHeight="1" s="28"/>
    <row r="224" ht="15.75" customHeight="1" s="28"/>
    <row r="225" ht="15.75" customHeight="1" s="28"/>
    <row r="226" ht="15.75" customHeight="1" s="28"/>
    <row r="227" ht="15.75" customHeight="1" s="28"/>
    <row r="228" ht="15.75" customHeight="1" s="28"/>
    <row r="229" ht="15.75" customHeight="1" s="28"/>
    <row r="230" ht="15.75" customHeight="1" s="28"/>
    <row r="231" ht="15.75" customHeight="1" s="28"/>
    <row r="232" ht="15.75" customHeight="1" s="28"/>
    <row r="233" ht="15.75" customHeight="1" s="28"/>
    <row r="234" ht="15.75" customHeight="1" s="28"/>
    <row r="235" ht="15.75" customHeight="1" s="28"/>
    <row r="236" ht="15.75" customHeight="1" s="28"/>
    <row r="237" ht="15.75" customHeight="1" s="28"/>
    <row r="238" ht="15.75" customHeight="1" s="28"/>
    <row r="239" ht="15.75" customHeight="1" s="28"/>
    <row r="240" ht="15.75" customHeight="1" s="28"/>
    <row r="241" ht="15.75" customHeight="1" s="28"/>
    <row r="242" ht="15.75" customHeight="1" s="28"/>
    <row r="243" ht="15.75" customHeight="1" s="28"/>
    <row r="244" ht="15.75" customHeight="1" s="28"/>
    <row r="245" ht="15.75" customHeight="1" s="28"/>
    <row r="246" ht="15.75" customHeight="1" s="28"/>
    <row r="247" ht="15.75" customHeight="1" s="28"/>
    <row r="248" ht="15.75" customHeight="1" s="28"/>
    <row r="249" ht="15.75" customHeight="1" s="28"/>
    <row r="250" ht="15.75" customHeight="1" s="28"/>
    <row r="251" ht="15.75" customHeight="1" s="28"/>
    <row r="252" ht="15.75" customHeight="1" s="28"/>
    <row r="253" ht="15.75" customHeight="1" s="28"/>
    <row r="254" ht="15.75" customHeight="1" s="28"/>
    <row r="255" ht="15.75" customHeight="1" s="28"/>
    <row r="256" ht="15.75" customHeight="1" s="28"/>
    <row r="257" ht="15.75" customHeight="1" s="28"/>
    <row r="258" ht="15.75" customHeight="1" s="28"/>
    <row r="259" ht="15.75" customHeight="1" s="28"/>
    <row r="260" ht="15.75" customHeight="1" s="28"/>
    <row r="261" ht="15.75" customHeight="1" s="28"/>
    <row r="262" ht="15.75" customHeight="1" s="28"/>
    <row r="263" ht="15.75" customHeight="1" s="28"/>
    <row r="264" ht="15.75" customHeight="1" s="28"/>
    <row r="265" ht="15.75" customHeight="1" s="28"/>
    <row r="266" ht="15.75" customHeight="1" s="28"/>
    <row r="267" ht="15.75" customHeight="1" s="28"/>
    <row r="268" ht="15.75" customHeight="1" s="28"/>
    <row r="269" ht="15.75" customHeight="1" s="28"/>
    <row r="270" ht="15.75" customHeight="1" s="28"/>
    <row r="271" ht="15.75" customHeight="1" s="28"/>
    <row r="272" ht="15.75" customHeight="1" s="28"/>
    <row r="273" ht="15.75" customHeight="1" s="28"/>
    <row r="274" ht="15.75" customHeight="1" s="28"/>
    <row r="275" ht="15.75" customHeight="1" s="28"/>
    <row r="276" ht="15.75" customHeight="1" s="28"/>
    <row r="277" ht="15.75" customHeight="1" s="28"/>
    <row r="278" ht="15.75" customHeight="1" s="28"/>
    <row r="279" ht="15.75" customHeight="1" s="28"/>
    <row r="280" ht="15.75" customHeight="1" s="28"/>
    <row r="281" ht="15.75" customHeight="1" s="28"/>
    <row r="282" ht="15.75" customHeight="1" s="28"/>
    <row r="283" ht="15.75" customHeight="1" s="28"/>
    <row r="284" ht="15.75" customHeight="1" s="28"/>
    <row r="285" ht="15.75" customHeight="1" s="28"/>
    <row r="286" ht="15.75" customHeight="1" s="28"/>
    <row r="287" ht="15.75" customHeight="1" s="28"/>
    <row r="288" ht="15.75" customHeight="1" s="28"/>
    <row r="289" ht="15.75" customHeight="1" s="28"/>
    <row r="290" ht="15.75" customHeight="1" s="28"/>
    <row r="291" ht="15.75" customHeight="1" s="28"/>
    <row r="292" ht="15.75" customHeight="1" s="28"/>
    <row r="293" ht="15.75" customHeight="1" s="28"/>
    <row r="294" ht="15.75" customHeight="1" s="28"/>
    <row r="295" ht="15.75" customHeight="1" s="28"/>
    <row r="296" ht="15.75" customHeight="1" s="28"/>
    <row r="297" ht="15.75" customHeight="1" s="28"/>
    <row r="298" ht="15.75" customHeight="1" s="28"/>
    <row r="299" ht="15.75" customHeight="1" s="28"/>
    <row r="300" ht="15.75" customHeight="1" s="28"/>
    <row r="301" ht="15.75" customHeight="1" s="28"/>
    <row r="302" ht="15.75" customHeight="1" s="28"/>
    <row r="303" ht="15.75" customHeight="1" s="28"/>
    <row r="304" ht="15.75" customHeight="1" s="28"/>
    <row r="305" ht="15.75" customHeight="1" s="28"/>
    <row r="306" ht="15.75" customHeight="1" s="28"/>
    <row r="307" ht="15.75" customHeight="1" s="28"/>
    <row r="308" ht="15.75" customHeight="1" s="28"/>
    <row r="309" ht="15.75" customHeight="1" s="28"/>
    <row r="310" ht="15.75" customHeight="1" s="28"/>
    <row r="311" ht="15.75" customHeight="1" s="28"/>
    <row r="312" ht="15.75" customHeight="1" s="28"/>
    <row r="313" ht="15.75" customHeight="1" s="28"/>
    <row r="314" ht="15.75" customHeight="1" s="28"/>
    <row r="315" ht="15.75" customHeight="1" s="28"/>
    <row r="316" ht="15.75" customHeight="1" s="28"/>
    <row r="317" ht="15.75" customHeight="1" s="28"/>
    <row r="318" ht="15.75" customHeight="1" s="28"/>
    <row r="319" ht="15.75" customHeight="1" s="28"/>
    <row r="320" ht="15.75" customHeight="1" s="28"/>
    <row r="321" ht="15.75" customHeight="1" s="28"/>
    <row r="322" ht="15.75" customHeight="1" s="28"/>
    <row r="323" ht="15.75" customHeight="1" s="28"/>
    <row r="324" ht="15.75" customHeight="1" s="28"/>
    <row r="325" ht="15.75" customHeight="1" s="28"/>
    <row r="326" ht="15.75" customHeight="1" s="28"/>
    <row r="327" ht="15.75" customHeight="1" s="28"/>
    <row r="328" ht="15.75" customHeight="1" s="28"/>
    <row r="329" ht="15.75" customHeight="1" s="28"/>
    <row r="330" ht="15.75" customHeight="1" s="28"/>
    <row r="331" ht="15.75" customHeight="1" s="28"/>
    <row r="332" ht="15.75" customHeight="1" s="28"/>
    <row r="333" ht="15.75" customHeight="1" s="28"/>
    <row r="334" ht="15.75" customHeight="1" s="28"/>
    <row r="335" ht="15.75" customHeight="1" s="28"/>
    <row r="336" ht="15.75" customHeight="1" s="28"/>
    <row r="337" ht="15.75" customHeight="1" s="28"/>
    <row r="338" ht="15.75" customHeight="1" s="28"/>
    <row r="339" ht="15.75" customHeight="1" s="28"/>
    <row r="340" ht="15.75" customHeight="1" s="28"/>
    <row r="341" ht="15.75" customHeight="1" s="28"/>
    <row r="342" ht="15.75" customHeight="1" s="28"/>
    <row r="343" ht="15.75" customHeight="1" s="28"/>
    <row r="344" ht="15.75" customHeight="1" s="28"/>
    <row r="345" ht="15.75" customHeight="1" s="28"/>
    <row r="346" ht="15.75" customHeight="1" s="28"/>
    <row r="347" ht="15.75" customHeight="1" s="28"/>
    <row r="348" ht="15.75" customHeight="1" s="28"/>
    <row r="349" ht="15.75" customHeight="1" s="28"/>
    <row r="350" ht="15.75" customHeight="1" s="28"/>
    <row r="351" ht="15.75" customHeight="1" s="28"/>
    <row r="352" ht="15.75" customHeight="1" s="28"/>
    <row r="353" ht="15.75" customHeight="1" s="28"/>
    <row r="354" ht="15.75" customHeight="1" s="28"/>
    <row r="355" ht="15.75" customHeight="1" s="28"/>
    <row r="356" ht="15.75" customHeight="1" s="28"/>
    <row r="357" ht="15.75" customHeight="1" s="28"/>
    <row r="358" ht="15.75" customHeight="1" s="28"/>
    <row r="359" ht="15.75" customHeight="1" s="28"/>
    <row r="360" ht="15.75" customHeight="1" s="28"/>
    <row r="361" ht="15.75" customHeight="1" s="28"/>
    <row r="362" ht="15.75" customHeight="1" s="28"/>
    <row r="363" ht="15.75" customHeight="1" s="28"/>
    <row r="364" ht="15.75" customHeight="1" s="28"/>
    <row r="365" ht="15.75" customHeight="1" s="28"/>
    <row r="366" ht="15.75" customHeight="1" s="28"/>
    <row r="367" ht="15.75" customHeight="1" s="28"/>
    <row r="368" ht="15.75" customHeight="1" s="28"/>
    <row r="369" ht="15.75" customHeight="1" s="28"/>
    <row r="370" ht="15.75" customHeight="1" s="28"/>
    <row r="371" ht="15.75" customHeight="1" s="28"/>
    <row r="372" ht="15.75" customHeight="1" s="28"/>
    <row r="373" ht="15.75" customHeight="1" s="28"/>
    <row r="374" ht="15.75" customHeight="1" s="28"/>
    <row r="375" ht="15.75" customHeight="1" s="28"/>
    <row r="376" ht="15.75" customHeight="1" s="28"/>
    <row r="377" ht="15.75" customHeight="1" s="28"/>
    <row r="378" ht="15.75" customHeight="1" s="28"/>
    <row r="379" ht="15.75" customHeight="1" s="28"/>
    <row r="380" ht="15.75" customHeight="1" s="28"/>
    <row r="381" ht="15.75" customHeight="1" s="28"/>
    <row r="382" ht="15.75" customHeight="1" s="28"/>
    <row r="383" ht="15.75" customHeight="1" s="28"/>
    <row r="384" ht="15.75" customHeight="1" s="28"/>
    <row r="385" ht="15.75" customHeight="1" s="28"/>
    <row r="386" ht="15.75" customHeight="1" s="28"/>
    <row r="387" ht="15.75" customHeight="1" s="28"/>
    <row r="388" ht="15.75" customHeight="1" s="28"/>
    <row r="389" ht="15.75" customHeight="1" s="28"/>
    <row r="390" ht="15.75" customHeight="1" s="28"/>
    <row r="391" ht="15.75" customHeight="1" s="28"/>
    <row r="392" ht="15.75" customHeight="1" s="28"/>
    <row r="393" ht="15.75" customHeight="1" s="28"/>
    <row r="394" ht="15.75" customHeight="1" s="28"/>
    <row r="395" ht="15.75" customHeight="1" s="28"/>
    <row r="396" ht="15.75" customHeight="1" s="28"/>
    <row r="397" ht="15.75" customHeight="1" s="28"/>
    <row r="398" ht="15.75" customHeight="1" s="28"/>
    <row r="399" ht="15.75" customHeight="1" s="28"/>
    <row r="400" ht="15.75" customHeight="1" s="28"/>
    <row r="401" ht="15.75" customHeight="1" s="28"/>
    <row r="402" ht="15.75" customHeight="1" s="28"/>
    <row r="403" ht="15.75" customHeight="1" s="28"/>
    <row r="404" ht="15.75" customHeight="1" s="28"/>
    <row r="405" ht="15.75" customHeight="1" s="28"/>
    <row r="406" ht="15.75" customHeight="1" s="28"/>
    <row r="407" ht="15.75" customHeight="1" s="28"/>
    <row r="408" ht="15.75" customHeight="1" s="28"/>
    <row r="409" ht="15.75" customHeight="1" s="28"/>
    <row r="410" ht="15.75" customHeight="1" s="28"/>
    <row r="411" ht="15.75" customHeight="1" s="28"/>
    <row r="412" ht="15.75" customHeight="1" s="28"/>
    <row r="413" ht="15.75" customHeight="1" s="28"/>
    <row r="414" ht="15.75" customHeight="1" s="28"/>
    <row r="415" ht="15.75" customHeight="1" s="28"/>
    <row r="416" ht="15.75" customHeight="1" s="28"/>
    <row r="417" ht="15.75" customHeight="1" s="28"/>
    <row r="418" ht="15.75" customHeight="1" s="28"/>
    <row r="419" ht="15.75" customHeight="1" s="28"/>
    <row r="420" ht="15.75" customHeight="1" s="28"/>
    <row r="421" ht="15.75" customHeight="1" s="28"/>
    <row r="422" ht="15.75" customHeight="1" s="28"/>
    <row r="423" ht="15.75" customHeight="1" s="28"/>
    <row r="424" ht="15.75" customHeight="1" s="28"/>
    <row r="425" ht="15.75" customHeight="1" s="28"/>
    <row r="426" ht="15.75" customHeight="1" s="28"/>
    <row r="427" ht="15.75" customHeight="1" s="28"/>
    <row r="428" ht="15.75" customHeight="1" s="28"/>
    <row r="429" ht="15.75" customHeight="1" s="28"/>
    <row r="430" ht="15.75" customHeight="1" s="28"/>
    <row r="431" ht="15.75" customHeight="1" s="28"/>
    <row r="432" ht="15.75" customHeight="1" s="28"/>
    <row r="433" ht="15.75" customHeight="1" s="28"/>
    <row r="434" ht="15.75" customHeight="1" s="28"/>
    <row r="435" ht="15.75" customHeight="1" s="28"/>
    <row r="436" ht="15.75" customHeight="1" s="28"/>
    <row r="437" ht="15.75" customHeight="1" s="28"/>
    <row r="438" ht="15.75" customHeight="1" s="28"/>
    <row r="439" ht="15.75" customHeight="1" s="28"/>
    <row r="440" ht="15.75" customHeight="1" s="28"/>
    <row r="441" ht="15.75" customHeight="1" s="28"/>
    <row r="442" ht="15.75" customHeight="1" s="28"/>
    <row r="443" ht="15.75" customHeight="1" s="28"/>
    <row r="444" ht="15.75" customHeight="1" s="28"/>
    <row r="445" ht="15.75" customHeight="1" s="28"/>
    <row r="446" ht="15.75" customHeight="1" s="28"/>
    <row r="447" ht="15.75" customHeight="1" s="28"/>
    <row r="448" ht="15.75" customHeight="1" s="28"/>
    <row r="449" ht="15.75" customHeight="1" s="28"/>
    <row r="450" ht="15.75" customHeight="1" s="28"/>
    <row r="451" ht="15.75" customHeight="1" s="28"/>
    <row r="452" ht="15.75" customHeight="1" s="28"/>
    <row r="453" ht="15.75" customHeight="1" s="28"/>
    <row r="454" ht="15.75" customHeight="1" s="28"/>
    <row r="455" ht="15.75" customHeight="1" s="28"/>
    <row r="456" ht="15.75" customHeight="1" s="28"/>
    <row r="457" ht="15.75" customHeight="1" s="28"/>
    <row r="458" ht="15.75" customHeight="1" s="28"/>
    <row r="459" ht="15.75" customHeight="1" s="28"/>
    <row r="460" ht="15.75" customHeight="1" s="28"/>
    <row r="461" ht="15.75" customHeight="1" s="28"/>
    <row r="462" ht="15.75" customHeight="1" s="28"/>
    <row r="463" ht="15.75" customHeight="1" s="28"/>
    <row r="464" ht="15.75" customHeight="1" s="28"/>
    <row r="465" ht="15.75" customHeight="1" s="28"/>
    <row r="466" ht="15.75" customHeight="1" s="28"/>
    <row r="467" ht="15.75" customHeight="1" s="28"/>
    <row r="468" ht="15.75" customHeight="1" s="28"/>
    <row r="469" ht="15.75" customHeight="1" s="28"/>
    <row r="470" ht="15.75" customHeight="1" s="28"/>
    <row r="471" ht="15.75" customHeight="1" s="28"/>
    <row r="472" ht="15.75" customHeight="1" s="28"/>
    <row r="473" ht="15.75" customHeight="1" s="28"/>
    <row r="474" ht="15.75" customHeight="1" s="28"/>
    <row r="475" ht="15.75" customHeight="1" s="28"/>
    <row r="476" ht="15.75" customHeight="1" s="28"/>
    <row r="477" ht="15.75" customHeight="1" s="28"/>
    <row r="478" ht="15.75" customHeight="1" s="28"/>
    <row r="479" ht="15.75" customHeight="1" s="28"/>
    <row r="480" ht="15.75" customHeight="1" s="28"/>
    <row r="481" ht="15.75" customHeight="1" s="28"/>
    <row r="482" ht="15.75" customHeight="1" s="28"/>
    <row r="483" ht="15.75" customHeight="1" s="28"/>
    <row r="484" ht="15.75" customHeight="1" s="28"/>
    <row r="485" ht="15.75" customHeight="1" s="28"/>
    <row r="486" ht="15.75" customHeight="1" s="28"/>
    <row r="487" ht="15.75" customHeight="1" s="28"/>
    <row r="488" ht="15.75" customHeight="1" s="28"/>
    <row r="489" ht="15.75" customHeight="1" s="28"/>
    <row r="490" ht="15.75" customHeight="1" s="28"/>
    <row r="491" ht="15.75" customHeight="1" s="28"/>
    <row r="492" ht="15.75" customHeight="1" s="28"/>
    <row r="493" ht="15.75" customHeight="1" s="28"/>
    <row r="494" ht="15.75" customHeight="1" s="28"/>
    <row r="495" ht="15.75" customHeight="1" s="28"/>
    <row r="496" ht="15.75" customHeight="1" s="28"/>
    <row r="497" ht="15.75" customHeight="1" s="28"/>
    <row r="498" ht="15.75" customHeight="1" s="28"/>
    <row r="499" ht="15.75" customHeight="1" s="28"/>
    <row r="500" ht="15.75" customHeight="1" s="28"/>
    <row r="501" ht="15.75" customHeight="1" s="28"/>
    <row r="502" ht="15.75" customHeight="1" s="28"/>
    <row r="503" ht="15.75" customHeight="1" s="28"/>
    <row r="504" ht="15.75" customHeight="1" s="28"/>
    <row r="505" ht="15.75" customHeight="1" s="28"/>
    <row r="506" ht="15.75" customHeight="1" s="28"/>
    <row r="507" ht="15.75" customHeight="1" s="28"/>
    <row r="508" ht="15.75" customHeight="1" s="28"/>
    <row r="509" ht="15.75" customHeight="1" s="28"/>
    <row r="510" ht="15.75" customHeight="1" s="28"/>
    <row r="511" ht="15.75" customHeight="1" s="28"/>
    <row r="512" ht="15.75" customHeight="1" s="28"/>
    <row r="513" ht="15.75" customHeight="1" s="28"/>
    <row r="514" ht="15.75" customHeight="1" s="28"/>
    <row r="515" ht="15.75" customHeight="1" s="28"/>
    <row r="516" ht="15.75" customHeight="1" s="28"/>
    <row r="517" ht="15.75" customHeight="1" s="28"/>
    <row r="518" ht="15.75" customHeight="1" s="28"/>
    <row r="519" ht="15.75" customHeight="1" s="28"/>
    <row r="520" ht="15.75" customHeight="1" s="28"/>
    <row r="521" ht="15.75" customHeight="1" s="28"/>
    <row r="522" ht="15.75" customHeight="1" s="28"/>
    <row r="523" ht="15.75" customHeight="1" s="28"/>
    <row r="524" ht="15.75" customHeight="1" s="28"/>
    <row r="525" ht="15.75" customHeight="1" s="28"/>
    <row r="526" ht="15.75" customHeight="1" s="28"/>
    <row r="527" ht="15.75" customHeight="1" s="28"/>
    <row r="528" ht="15.75" customHeight="1" s="28"/>
    <row r="529" ht="15.75" customHeight="1" s="28"/>
    <row r="530" ht="15.75" customHeight="1" s="28"/>
    <row r="531" ht="15.75" customHeight="1" s="28"/>
    <row r="532" ht="15.75" customHeight="1" s="28"/>
    <row r="533" ht="15.75" customHeight="1" s="28"/>
    <row r="534" ht="15.75" customHeight="1" s="28"/>
    <row r="535" ht="15.75" customHeight="1" s="28"/>
    <row r="536" ht="15.75" customHeight="1" s="28"/>
    <row r="537" ht="15.75" customHeight="1" s="28"/>
    <row r="538" ht="15.75" customHeight="1" s="28"/>
    <row r="539" ht="15.75" customHeight="1" s="28"/>
    <row r="540" ht="15.75" customHeight="1" s="28"/>
    <row r="541" ht="15.75" customHeight="1" s="28"/>
    <row r="542" ht="15.75" customHeight="1" s="28"/>
    <row r="543" ht="15.75" customHeight="1" s="28"/>
    <row r="544" ht="15.75" customHeight="1" s="28"/>
    <row r="545" ht="15.75" customHeight="1" s="28"/>
    <row r="546" ht="15.75" customHeight="1" s="28"/>
    <row r="547" ht="15.75" customHeight="1" s="28"/>
    <row r="548" ht="15.75" customHeight="1" s="28"/>
    <row r="549" ht="15.75" customHeight="1" s="28"/>
    <row r="550" ht="15.75" customHeight="1" s="28"/>
    <row r="551" ht="15.75" customHeight="1" s="28"/>
    <row r="552" ht="15.75" customHeight="1" s="28"/>
    <row r="553" ht="15.75" customHeight="1" s="28"/>
    <row r="554" ht="15.75" customHeight="1" s="28"/>
    <row r="555" ht="15.75" customHeight="1" s="28"/>
    <row r="556" ht="15.75" customHeight="1" s="28"/>
    <row r="557" ht="15.75" customHeight="1" s="28"/>
    <row r="558" ht="15.75" customHeight="1" s="28"/>
    <row r="559" ht="15.75" customHeight="1" s="28"/>
    <row r="560" ht="15.75" customHeight="1" s="28"/>
    <row r="561" ht="15.75" customHeight="1" s="28"/>
    <row r="562" ht="15.75" customHeight="1" s="28"/>
    <row r="563" ht="15.75" customHeight="1" s="28"/>
    <row r="564" ht="15.75" customHeight="1" s="28"/>
    <row r="565" ht="15.75" customHeight="1" s="28"/>
    <row r="566" ht="15.75" customHeight="1" s="28"/>
    <row r="567" ht="15.75" customHeight="1" s="28"/>
    <row r="568" ht="15.75" customHeight="1" s="28"/>
    <row r="569" ht="15.75" customHeight="1" s="28"/>
    <row r="570" ht="15.75" customHeight="1" s="28"/>
    <row r="571" ht="15.75" customHeight="1" s="28"/>
    <row r="572" ht="15.75" customHeight="1" s="28"/>
    <row r="573" ht="15.75" customHeight="1" s="28"/>
    <row r="574" ht="15.75" customHeight="1" s="28"/>
    <row r="575" ht="15.75" customHeight="1" s="28"/>
    <row r="576" ht="15.75" customHeight="1" s="28"/>
    <row r="577" ht="15.75" customHeight="1" s="28"/>
    <row r="578" ht="15.75" customHeight="1" s="28"/>
    <row r="579" ht="15.75" customHeight="1" s="28"/>
    <row r="580" ht="15.75" customHeight="1" s="28"/>
    <row r="581" ht="15.75" customHeight="1" s="28"/>
    <row r="582" ht="15.75" customHeight="1" s="28"/>
    <row r="583" ht="15.75" customHeight="1" s="28"/>
    <row r="584" ht="15.75" customHeight="1" s="28"/>
    <row r="585" ht="15.75" customHeight="1" s="28"/>
    <row r="586" ht="15.75" customHeight="1" s="28"/>
    <row r="587" ht="15.75" customHeight="1" s="28"/>
    <row r="588" ht="15.75" customHeight="1" s="28"/>
    <row r="589" ht="15.75" customHeight="1" s="28"/>
    <row r="590" ht="15.75" customHeight="1" s="28"/>
    <row r="591" ht="15.75" customHeight="1" s="28"/>
    <row r="592" ht="15.75" customHeight="1" s="28"/>
    <row r="593" ht="15.75" customHeight="1" s="28"/>
    <row r="594" ht="15.75" customHeight="1" s="28"/>
    <row r="595" ht="15.75" customHeight="1" s="28"/>
    <row r="596" ht="15.75" customHeight="1" s="28"/>
    <row r="597" ht="15.75" customHeight="1" s="28"/>
    <row r="598" ht="15.75" customHeight="1" s="28"/>
    <row r="599" ht="15.75" customHeight="1" s="28"/>
    <row r="600" ht="15.75" customHeight="1" s="28"/>
    <row r="601" ht="15.75" customHeight="1" s="28"/>
    <row r="602" ht="15.75" customHeight="1" s="28"/>
    <row r="603" ht="15.75" customHeight="1" s="28"/>
    <row r="604" ht="15.75" customHeight="1" s="28"/>
    <row r="605" ht="15.75" customHeight="1" s="28"/>
    <row r="606" ht="15.75" customHeight="1" s="28"/>
    <row r="607" ht="15.75" customHeight="1" s="28"/>
    <row r="608" ht="15.75" customHeight="1" s="28"/>
    <row r="609" ht="15.75" customHeight="1" s="28"/>
    <row r="610" ht="15.75" customHeight="1" s="28"/>
    <row r="611" ht="15.75" customHeight="1" s="28"/>
    <row r="612" ht="15.75" customHeight="1" s="28"/>
    <row r="613" ht="15.75" customHeight="1" s="28"/>
    <row r="614" ht="15.75" customHeight="1" s="28"/>
    <row r="615" ht="15.75" customHeight="1" s="28"/>
    <row r="616" ht="15.75" customHeight="1" s="28"/>
    <row r="617" ht="15.75" customHeight="1" s="28"/>
    <row r="618" ht="15.75" customHeight="1" s="28"/>
    <row r="619" ht="15.75" customHeight="1" s="28"/>
    <row r="620" ht="15.75" customHeight="1" s="28"/>
    <row r="621" ht="15.75" customHeight="1" s="28"/>
    <row r="622" ht="15.75" customHeight="1" s="28"/>
    <row r="623" ht="15.75" customHeight="1" s="28"/>
    <row r="624" ht="15.75" customHeight="1" s="28"/>
    <row r="625" ht="15.75" customHeight="1" s="28"/>
    <row r="626" ht="15.75" customHeight="1" s="28"/>
    <row r="627" ht="15.75" customHeight="1" s="28"/>
    <row r="628" ht="15.75" customHeight="1" s="28"/>
    <row r="629" ht="15.75" customHeight="1" s="28"/>
    <row r="630" ht="15.75" customHeight="1" s="28"/>
    <row r="631" ht="15.75" customHeight="1" s="28"/>
    <row r="632" ht="15.75" customHeight="1" s="28"/>
    <row r="633" ht="15.75" customHeight="1" s="28"/>
    <row r="634" ht="15.75" customHeight="1" s="28"/>
    <row r="635" ht="15.75" customHeight="1" s="28"/>
    <row r="636" ht="15.75" customHeight="1" s="28"/>
    <row r="637" ht="15.75" customHeight="1" s="28"/>
    <row r="638" ht="15.75" customHeight="1" s="28"/>
    <row r="639" ht="15.75" customHeight="1" s="28"/>
    <row r="640" ht="15.75" customHeight="1" s="28"/>
    <row r="641" ht="15.75" customHeight="1" s="28"/>
    <row r="642" ht="15.75" customHeight="1" s="28"/>
    <row r="643" ht="15.75" customHeight="1" s="28"/>
    <row r="644" ht="15.75" customHeight="1" s="28"/>
    <row r="645" ht="15.75" customHeight="1" s="28"/>
    <row r="646" ht="15.75" customHeight="1" s="28"/>
    <row r="647" ht="15.75" customHeight="1" s="28"/>
    <row r="648" ht="15.75" customHeight="1" s="28"/>
    <row r="649" ht="15.75" customHeight="1" s="28"/>
    <row r="650" ht="15.75" customHeight="1" s="28"/>
    <row r="651" ht="15.75" customHeight="1" s="28"/>
    <row r="652" ht="15.75" customHeight="1" s="28"/>
    <row r="653" ht="15.75" customHeight="1" s="28"/>
    <row r="654" ht="15.75" customHeight="1" s="28"/>
    <row r="655" ht="15.75" customHeight="1" s="28"/>
    <row r="656" ht="15.75" customHeight="1" s="28"/>
    <row r="657" ht="15.75" customHeight="1" s="28"/>
    <row r="658" ht="15.75" customHeight="1" s="28"/>
    <row r="659" ht="15.75" customHeight="1" s="28"/>
    <row r="660" ht="15.75" customHeight="1" s="28"/>
    <row r="661" ht="15.75" customHeight="1" s="28"/>
    <row r="662" ht="15.75" customHeight="1" s="28"/>
    <row r="663" ht="15.75" customHeight="1" s="28"/>
    <row r="664" ht="15.75" customHeight="1" s="28"/>
    <row r="665" ht="15.75" customHeight="1" s="28"/>
    <row r="666" ht="15.75" customHeight="1" s="28"/>
    <row r="667" ht="15.75" customHeight="1" s="28"/>
    <row r="668" ht="15.75" customHeight="1" s="28"/>
    <row r="669" ht="15.75" customHeight="1" s="28"/>
    <row r="670" ht="15.75" customHeight="1" s="28"/>
    <row r="671" ht="15.75" customHeight="1" s="28"/>
    <row r="672" ht="15.75" customHeight="1" s="28"/>
    <row r="673" ht="15.75" customHeight="1" s="28"/>
    <row r="674" ht="15.75" customHeight="1" s="28"/>
    <row r="675" ht="15.75" customHeight="1" s="28"/>
    <row r="676" ht="15.75" customHeight="1" s="28"/>
    <row r="677" ht="15.75" customHeight="1" s="28"/>
    <row r="678" ht="15.75" customHeight="1" s="28"/>
    <row r="679" ht="15.75" customHeight="1" s="28"/>
    <row r="680" ht="15.75" customHeight="1" s="28"/>
    <row r="681" ht="15.75" customHeight="1" s="28"/>
    <row r="682" ht="15.75" customHeight="1" s="28"/>
    <row r="683" ht="15.75" customHeight="1" s="28"/>
    <row r="684" ht="15.75" customHeight="1" s="28"/>
    <row r="685" ht="15.75" customHeight="1" s="28"/>
    <row r="686" ht="15.75" customHeight="1" s="28"/>
    <row r="687" ht="15.75" customHeight="1" s="28"/>
    <row r="688" ht="15.75" customHeight="1" s="28"/>
    <row r="689" ht="15.75" customHeight="1" s="28"/>
    <row r="690" ht="15.75" customHeight="1" s="28"/>
    <row r="691" ht="15.75" customHeight="1" s="28"/>
    <row r="692" ht="15.75" customHeight="1" s="28"/>
    <row r="693" ht="15.75" customHeight="1" s="28"/>
    <row r="694" ht="15.75" customHeight="1" s="28"/>
    <row r="695" ht="15.75" customHeight="1" s="28"/>
    <row r="696" ht="15.75" customHeight="1" s="28"/>
    <row r="697" ht="15.75" customHeight="1" s="28"/>
    <row r="698" ht="15.75" customHeight="1" s="28"/>
    <row r="699" ht="15.75" customHeight="1" s="28"/>
    <row r="700" ht="15.75" customHeight="1" s="28"/>
    <row r="701" ht="15.75" customHeight="1" s="28"/>
    <row r="702" ht="15.75" customHeight="1" s="28"/>
    <row r="703" ht="15.75" customHeight="1" s="28"/>
    <row r="704" ht="15.75" customHeight="1" s="28"/>
    <row r="705" ht="15.75" customHeight="1" s="28"/>
    <row r="706" ht="15.75" customHeight="1" s="28"/>
    <row r="707" ht="15.75" customHeight="1" s="28"/>
    <row r="708" ht="15.75" customHeight="1" s="28"/>
    <row r="709" ht="15.75" customHeight="1" s="28"/>
    <row r="710" ht="15.75" customHeight="1" s="28"/>
    <row r="711" ht="15.75" customHeight="1" s="28"/>
    <row r="712" ht="15.75" customHeight="1" s="28"/>
    <row r="713" ht="15.75" customHeight="1" s="28"/>
    <row r="714" ht="15.75" customHeight="1" s="28"/>
    <row r="715" ht="15.75" customHeight="1" s="28"/>
    <row r="716" ht="15.75" customHeight="1" s="28"/>
    <row r="717" ht="15.75" customHeight="1" s="28"/>
    <row r="718" ht="15.75" customHeight="1" s="28"/>
    <row r="719" ht="15.75" customHeight="1" s="28"/>
    <row r="720" ht="15.75" customHeight="1" s="28"/>
    <row r="721" ht="15.75" customHeight="1" s="28"/>
    <row r="722" ht="15.75" customHeight="1" s="28"/>
    <row r="723" ht="15.75" customHeight="1" s="28"/>
    <row r="724" ht="15.75" customHeight="1" s="28"/>
    <row r="725" ht="15.75" customHeight="1" s="28"/>
    <row r="726" ht="15.75" customHeight="1" s="28"/>
    <row r="727" ht="15.75" customHeight="1" s="28"/>
    <row r="728" ht="15.75" customHeight="1" s="28"/>
    <row r="729" ht="15.75" customHeight="1" s="28"/>
    <row r="730" ht="15.75" customHeight="1" s="28"/>
    <row r="731" ht="15.75" customHeight="1" s="28"/>
    <row r="732" ht="15.75" customHeight="1" s="28"/>
    <row r="733" ht="15.75" customHeight="1" s="28"/>
    <row r="734" ht="15.75" customHeight="1" s="28"/>
    <row r="735" ht="15.75" customHeight="1" s="28"/>
    <row r="736" ht="15.75" customHeight="1" s="28"/>
    <row r="737" ht="15.75" customHeight="1" s="28"/>
    <row r="738" ht="15.75" customHeight="1" s="28"/>
    <row r="739" ht="15.75" customHeight="1" s="28"/>
    <row r="740" ht="15.75" customHeight="1" s="28"/>
    <row r="741" ht="15.75" customHeight="1" s="28"/>
    <row r="742" ht="15.75" customHeight="1" s="28"/>
    <row r="743" ht="15.75" customHeight="1" s="28"/>
    <row r="744" ht="15.75" customHeight="1" s="28"/>
    <row r="745" ht="15.75" customHeight="1" s="28"/>
    <row r="746" ht="15.75" customHeight="1" s="28"/>
    <row r="747" ht="15.75" customHeight="1" s="28"/>
    <row r="748" ht="15.75" customHeight="1" s="28"/>
    <row r="749" ht="15.75" customHeight="1" s="28"/>
    <row r="750" ht="15.75" customHeight="1" s="28"/>
    <row r="751" ht="15.75" customHeight="1" s="28"/>
    <row r="752" ht="15.75" customHeight="1" s="28"/>
    <row r="753" ht="15.75" customHeight="1" s="28"/>
    <row r="754" ht="15.75" customHeight="1" s="28"/>
    <row r="755" ht="15.75" customHeight="1" s="28"/>
    <row r="756" ht="15.75" customHeight="1" s="28"/>
    <row r="757" ht="15.75" customHeight="1" s="28"/>
    <row r="758" ht="15.75" customHeight="1" s="28"/>
    <row r="759" ht="15.75" customHeight="1" s="28"/>
    <row r="760" ht="15.75" customHeight="1" s="28"/>
    <row r="761" ht="15.75" customHeight="1" s="28"/>
    <row r="762" ht="15.75" customHeight="1" s="28"/>
    <row r="763" ht="15.75" customHeight="1" s="28"/>
    <row r="764" ht="15.75" customHeight="1" s="28"/>
    <row r="765" ht="15.75" customHeight="1" s="28"/>
    <row r="766" ht="15.75" customHeight="1" s="28"/>
    <row r="767" ht="15.75" customHeight="1" s="28"/>
    <row r="768" ht="15.75" customHeight="1" s="28"/>
    <row r="769" ht="15.75" customHeight="1" s="28"/>
    <row r="770" ht="15.75" customHeight="1" s="28"/>
    <row r="771" ht="15.75" customHeight="1" s="28"/>
    <row r="772" ht="15.75" customHeight="1" s="28"/>
    <row r="773" ht="15.75" customHeight="1" s="28"/>
    <row r="774" ht="15.75" customHeight="1" s="28"/>
    <row r="775" ht="15.75" customHeight="1" s="28"/>
    <row r="776" ht="15.75" customHeight="1" s="28"/>
    <row r="777" ht="15.75" customHeight="1" s="28"/>
    <row r="778" ht="15.75" customHeight="1" s="28"/>
    <row r="779" ht="15.75" customHeight="1" s="28"/>
    <row r="780" ht="15.75" customHeight="1" s="28"/>
    <row r="781" ht="15.75" customHeight="1" s="28"/>
    <row r="782" ht="15.75" customHeight="1" s="28"/>
    <row r="783" ht="15.75" customHeight="1" s="28"/>
    <row r="784" ht="15.75" customHeight="1" s="28"/>
    <row r="785" ht="15.75" customHeight="1" s="28"/>
    <row r="786" ht="15.75" customHeight="1" s="28"/>
    <row r="787" ht="15.75" customHeight="1" s="28"/>
    <row r="788" ht="15.75" customHeight="1" s="28"/>
    <row r="789" ht="15.75" customHeight="1" s="28"/>
    <row r="790" ht="15.75" customHeight="1" s="28"/>
    <row r="791" ht="15.75" customHeight="1" s="28"/>
    <row r="792" ht="15.75" customHeight="1" s="28"/>
    <row r="793" ht="15.75" customHeight="1" s="28"/>
    <row r="794" ht="15.75" customHeight="1" s="28"/>
    <row r="795" ht="15.75" customHeight="1" s="28"/>
    <row r="796" ht="15.75" customHeight="1" s="28"/>
    <row r="797" ht="15.75" customHeight="1" s="28"/>
    <row r="798" ht="15.75" customHeight="1" s="28"/>
    <row r="799" ht="15.75" customHeight="1" s="28"/>
    <row r="800" ht="15.75" customHeight="1" s="28"/>
    <row r="801" ht="15.75" customHeight="1" s="28"/>
    <row r="802" ht="15.75" customHeight="1" s="28"/>
    <row r="803" ht="15.75" customHeight="1" s="28"/>
    <row r="804" ht="15.75" customHeight="1" s="28"/>
    <row r="805" ht="15.75" customHeight="1" s="28"/>
    <row r="806" ht="15.75" customHeight="1" s="28"/>
    <row r="807" ht="15.75" customHeight="1" s="28"/>
    <row r="808" ht="15.75" customHeight="1" s="28"/>
    <row r="809" ht="15.75" customHeight="1" s="28"/>
    <row r="810" ht="15.75" customHeight="1" s="28"/>
    <row r="811" ht="15.75" customHeight="1" s="28"/>
    <row r="812" ht="15.75" customHeight="1" s="28"/>
    <row r="813" ht="15.75" customHeight="1" s="28"/>
    <row r="814" ht="15.75" customHeight="1" s="28"/>
    <row r="815" ht="15.75" customHeight="1" s="28"/>
    <row r="816" ht="15.75" customHeight="1" s="28"/>
    <row r="817" ht="15.75" customHeight="1" s="28"/>
    <row r="818" ht="15.75" customHeight="1" s="28"/>
    <row r="819" ht="15.75" customHeight="1" s="28"/>
    <row r="820" ht="15.75" customHeight="1" s="28"/>
    <row r="821" ht="15.75" customHeight="1" s="28"/>
    <row r="822" ht="15.75" customHeight="1" s="28"/>
    <row r="823" ht="15.75" customHeight="1" s="28"/>
    <row r="824" ht="15.75" customHeight="1" s="28"/>
    <row r="825" ht="15.75" customHeight="1" s="28"/>
    <row r="826" ht="15.75" customHeight="1" s="28"/>
    <row r="827" ht="15.75" customHeight="1" s="28"/>
    <row r="828" ht="15.75" customHeight="1" s="28"/>
    <row r="829" ht="15.75" customHeight="1" s="28"/>
    <row r="830" ht="15.75" customHeight="1" s="28"/>
    <row r="831" ht="15.75" customHeight="1" s="28"/>
    <row r="832" ht="15.75" customHeight="1" s="28"/>
    <row r="833" ht="15.75" customHeight="1" s="28"/>
    <row r="834" ht="15.75" customHeight="1" s="28"/>
    <row r="835" ht="15.75" customHeight="1" s="28"/>
    <row r="836" ht="15.75" customHeight="1" s="28"/>
    <row r="837" ht="15.75" customHeight="1" s="28"/>
    <row r="838" ht="15.75" customHeight="1" s="28"/>
    <row r="839" ht="15.75" customHeight="1" s="28"/>
    <row r="840" ht="15.75" customHeight="1" s="28"/>
    <row r="841" ht="15.75" customHeight="1" s="28"/>
    <row r="842" ht="15.75" customHeight="1" s="28"/>
    <row r="843" ht="15.75" customHeight="1" s="28"/>
    <row r="844" ht="15.75" customHeight="1" s="28"/>
    <row r="845" ht="15.75" customHeight="1" s="28"/>
    <row r="846" ht="15.75" customHeight="1" s="28"/>
    <row r="847" ht="15.75" customHeight="1" s="28"/>
    <row r="848" ht="15.75" customHeight="1" s="28"/>
    <row r="849" ht="15.75" customHeight="1" s="28"/>
    <row r="850" ht="15.75" customHeight="1" s="28"/>
    <row r="851" ht="15.75" customHeight="1" s="28"/>
    <row r="852" ht="15.75" customHeight="1" s="28"/>
    <row r="853" ht="15.75" customHeight="1" s="28"/>
    <row r="854" ht="15.75" customHeight="1" s="28"/>
    <row r="855" ht="15.75" customHeight="1" s="28"/>
    <row r="856" ht="15.75" customHeight="1" s="28"/>
    <row r="857" ht="15.75" customHeight="1" s="28"/>
    <row r="858" ht="15.75" customHeight="1" s="28"/>
    <row r="859" ht="15.75" customHeight="1" s="28"/>
    <row r="860" ht="15.75" customHeight="1" s="28"/>
    <row r="861" ht="15.75" customHeight="1" s="28"/>
    <row r="862" ht="15.75" customHeight="1" s="28"/>
    <row r="863" ht="15.75" customHeight="1" s="28"/>
    <row r="864" ht="15.75" customHeight="1" s="28"/>
    <row r="865" ht="15.75" customHeight="1" s="28"/>
    <row r="866" ht="15.75" customHeight="1" s="28"/>
    <row r="867" ht="15.75" customHeight="1" s="28"/>
    <row r="868" ht="15.75" customHeight="1" s="28"/>
    <row r="869" ht="15.75" customHeight="1" s="28"/>
    <row r="870" ht="15.75" customHeight="1" s="28"/>
    <row r="871" ht="15.75" customHeight="1" s="28"/>
    <row r="872" ht="15.75" customHeight="1" s="28"/>
    <row r="873" ht="15.75" customHeight="1" s="28"/>
    <row r="874" ht="15.75" customHeight="1" s="28"/>
    <row r="875" ht="15.75" customHeight="1" s="28"/>
    <row r="876" ht="15.75" customHeight="1" s="28"/>
    <row r="877" ht="15.75" customHeight="1" s="28"/>
    <row r="878" ht="15.75" customHeight="1" s="28"/>
    <row r="879" ht="15.75" customHeight="1" s="28"/>
    <row r="880" ht="15.75" customHeight="1" s="28"/>
    <row r="881" ht="15.75" customHeight="1" s="28"/>
    <row r="882" ht="15.75" customHeight="1" s="28"/>
    <row r="883" ht="15.75" customHeight="1" s="28"/>
    <row r="884" ht="15.75" customHeight="1" s="28"/>
    <row r="885" ht="15.75" customHeight="1" s="28"/>
    <row r="886" ht="15.75" customHeight="1" s="28"/>
    <row r="887" ht="15.75" customHeight="1" s="28"/>
    <row r="888" ht="15.75" customHeight="1" s="28"/>
    <row r="889" ht="15.75" customHeight="1" s="28"/>
    <row r="890" ht="15.75" customHeight="1" s="28"/>
    <row r="891" ht="15.75" customHeight="1" s="28"/>
    <row r="892" ht="15.75" customHeight="1" s="28"/>
    <row r="893" ht="15.75" customHeight="1" s="28"/>
    <row r="894" ht="15.75" customHeight="1" s="28"/>
    <row r="895" ht="15.75" customHeight="1" s="28"/>
    <row r="896" ht="15.75" customHeight="1" s="28"/>
    <row r="897" ht="15.75" customHeight="1" s="28"/>
    <row r="898" ht="15.75" customHeight="1" s="28"/>
    <row r="899" ht="15.75" customHeight="1" s="28"/>
    <row r="900" ht="15.75" customHeight="1" s="28"/>
    <row r="901" ht="15.75" customHeight="1" s="28"/>
    <row r="902" ht="15.75" customHeight="1" s="28"/>
    <row r="903" ht="15.75" customHeight="1" s="28"/>
    <row r="904" ht="15.75" customHeight="1" s="28"/>
    <row r="905" ht="15.75" customHeight="1" s="28"/>
    <row r="906" ht="15.75" customHeight="1" s="28"/>
    <row r="907" ht="15.75" customHeight="1" s="28"/>
    <row r="908" ht="15.75" customHeight="1" s="28"/>
    <row r="909" ht="15.75" customHeight="1" s="28"/>
    <row r="910" ht="15.75" customHeight="1" s="28"/>
    <row r="911" ht="15.75" customHeight="1" s="28"/>
    <row r="912" ht="15.75" customHeight="1" s="28"/>
    <row r="913" ht="15.75" customHeight="1" s="28"/>
    <row r="914" ht="15.75" customHeight="1" s="28"/>
    <row r="915" ht="15.75" customHeight="1" s="28"/>
    <row r="916" ht="15.75" customHeight="1" s="28"/>
    <row r="917" ht="15.75" customHeight="1" s="28"/>
    <row r="918" ht="15.75" customHeight="1" s="28"/>
    <row r="919" ht="15.75" customHeight="1" s="28"/>
    <row r="920" ht="15.75" customHeight="1" s="28"/>
    <row r="921" ht="15.75" customHeight="1" s="28"/>
    <row r="922" ht="15.75" customHeight="1" s="28"/>
    <row r="923" ht="15.75" customHeight="1" s="28"/>
    <row r="924" ht="15.75" customHeight="1" s="28"/>
    <row r="925" ht="15.75" customHeight="1" s="28"/>
    <row r="926" ht="15.75" customHeight="1" s="28"/>
    <row r="927" ht="15.75" customHeight="1" s="28"/>
    <row r="928" ht="15.75" customHeight="1" s="28"/>
    <row r="929" ht="15.75" customHeight="1" s="28"/>
    <row r="930" ht="15.75" customHeight="1" s="28"/>
    <row r="931" ht="15.75" customHeight="1" s="28"/>
    <row r="932" ht="15.75" customHeight="1" s="28"/>
    <row r="933" ht="15.75" customHeight="1" s="28"/>
    <row r="934" ht="15.75" customHeight="1" s="28"/>
    <row r="935" ht="15.75" customHeight="1" s="28"/>
    <row r="936" ht="15.75" customHeight="1" s="28"/>
    <row r="937" ht="15.75" customHeight="1" s="28"/>
    <row r="938" ht="15.75" customHeight="1" s="28"/>
    <row r="939" ht="15.75" customHeight="1" s="28"/>
    <row r="940" ht="15.75" customHeight="1" s="28"/>
    <row r="941" ht="15.75" customHeight="1" s="28"/>
    <row r="942" ht="15.75" customHeight="1" s="28"/>
    <row r="943" ht="15.75" customHeight="1" s="28"/>
    <row r="944" ht="15.75" customHeight="1" s="28"/>
    <row r="945" ht="15.75" customHeight="1" s="28"/>
    <row r="946" ht="15.75" customHeight="1" s="28"/>
    <row r="947" ht="15.75" customHeight="1" s="28"/>
    <row r="948" ht="15.75" customHeight="1" s="28"/>
    <row r="949" ht="15.75" customHeight="1" s="28"/>
    <row r="950" ht="15.75" customHeight="1" s="28"/>
    <row r="951" ht="15.75" customHeight="1" s="28"/>
    <row r="952" ht="15.75" customHeight="1" s="28"/>
    <row r="953" ht="15.75" customHeight="1" s="28"/>
    <row r="954" ht="15.75" customHeight="1" s="28"/>
    <row r="955" ht="15.75" customHeight="1" s="28"/>
    <row r="956" ht="15.75" customHeight="1" s="28"/>
    <row r="957" ht="15.75" customHeight="1" s="28"/>
    <row r="958" ht="15.75" customHeight="1" s="28"/>
    <row r="959" ht="15.75" customHeight="1" s="28"/>
    <row r="960" ht="15.75" customHeight="1" s="28"/>
    <row r="961" ht="15.75" customHeight="1" s="28"/>
    <row r="962" ht="15.75" customHeight="1" s="28"/>
    <row r="963" ht="15.75" customHeight="1" s="28"/>
    <row r="964" ht="15.75" customHeight="1" s="28"/>
    <row r="965" ht="15.75" customHeight="1" s="28"/>
    <row r="966" ht="15.75" customHeight="1" s="28"/>
    <row r="967" ht="15.75" customHeight="1" s="28"/>
    <row r="968" ht="15.75" customHeight="1" s="28"/>
    <row r="969" ht="15.75" customHeight="1" s="28"/>
    <row r="970" ht="15.75" customHeight="1" s="28"/>
    <row r="971" ht="15.75" customHeight="1" s="28"/>
    <row r="972" ht="15.75" customHeight="1" s="28"/>
    <row r="973" ht="15.75" customHeight="1" s="28"/>
    <row r="974" ht="15.75" customHeight="1" s="28"/>
    <row r="975" ht="15.75" customHeight="1" s="28"/>
    <row r="976" ht="15.75" customHeight="1" s="28"/>
    <row r="977" ht="15.75" customHeight="1" s="28"/>
    <row r="978" ht="15.75" customHeight="1" s="28"/>
    <row r="979" ht="15.75" customHeight="1" s="28"/>
    <row r="980" ht="15.75" customHeight="1" s="28"/>
    <row r="981" ht="15.75" customHeight="1" s="28"/>
    <row r="982" ht="15.75" customHeight="1" s="28"/>
    <row r="983" ht="15.75" customHeight="1" s="28"/>
    <row r="984" ht="15.75" customHeight="1" s="28"/>
    <row r="985" ht="15.75" customHeight="1" s="28"/>
    <row r="986" ht="15.75" customHeight="1" s="28"/>
    <row r="987" ht="15.75" customHeight="1" s="28"/>
    <row r="988" ht="15.75" customHeight="1" s="28"/>
    <row r="989" ht="15.75" customHeight="1" s="28"/>
    <row r="990" ht="15.75" customHeight="1" s="28"/>
    <row r="991" ht="15.75" customHeight="1" s="28"/>
    <row r="992" ht="15.75" customHeight="1" s="28"/>
    <row r="993" ht="15.75" customHeight="1" s="28"/>
    <row r="994" ht="15.75" customHeight="1" s="28"/>
    <row r="995" ht="15.75" customHeight="1" s="28"/>
    <row r="996" ht="15.75" customHeight="1" s="28"/>
    <row r="997" ht="15.75" customHeight="1" s="28"/>
    <row r="998" ht="15.75" customHeight="1" s="28"/>
    <row r="999" ht="15.75" customHeight="1" s="28"/>
    <row r="1000" ht="15.75" customHeight="1" s="28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0" customWidth="1" style="28" min="1" max="1"/>
    <col width="20" customWidth="1" style="28" min="2" max="2"/>
    <col width="15" customWidth="1" style="28" min="3" max="3"/>
  </cols>
  <sheetData>
    <row r="1" ht="30" customHeight="1" s="28">
      <c r="A1" s="30" t="inlineStr">
        <is>
          <t>Q1 COMPARISON: OLD WINDOWS vs NEW WINDOWS</t>
        </is>
      </c>
    </row>
    <row r="3">
      <c r="A3" s="31" t="inlineStr">
        <is>
          <t>Q1 2025 (Jan 1 - Mar 31, 2025) - OLD WINDOWS</t>
        </is>
      </c>
    </row>
    <row r="5">
      <c r="A5" s="32" t="inlineStr">
        <is>
          <t>Days:</t>
        </is>
      </c>
      <c r="B5" s="0" t="n">
        <v>90</v>
      </c>
    </row>
    <row r="6">
      <c r="A6" s="32" t="inlineStr">
        <is>
          <t>Average Temperature:</t>
        </is>
      </c>
      <c r="B6" s="33" t="n">
        <v>-17.95730337078652</v>
      </c>
      <c r="C6" s="0" t="inlineStr">
        <is>
          <t>°C</t>
        </is>
      </c>
    </row>
    <row r="7">
      <c r="A7" s="32" t="inlineStr">
        <is>
          <t>Total HDD:</t>
        </is>
      </c>
      <c r="B7" s="33" t="n">
        <v>3200.2</v>
      </c>
    </row>
    <row r="8">
      <c r="A8" s="32" t="inlineStr">
        <is>
          <t>Average HDD/day:</t>
        </is>
      </c>
      <c r="B8" s="34" t="n">
        <v>35.55777777777778</v>
      </c>
    </row>
    <row r="10">
      <c r="A10" s="32" t="inlineStr">
        <is>
          <t>Estimated Fuel Used:</t>
        </is>
      </c>
      <c r="B10" s="33" t="n">
        <v>611.3542132520208</v>
      </c>
      <c r="C10" s="0" t="inlineStr">
        <is>
          <t>Liters</t>
        </is>
      </c>
    </row>
    <row r="11">
      <c r="A11" s="32" t="inlineStr">
        <is>
          <t>Efficiency (OLD WINDOWS):</t>
        </is>
      </c>
      <c r="B11" s="35" t="n">
        <v>0.1910362518755143</v>
      </c>
      <c r="C11" s="0" t="inlineStr">
        <is>
          <t>L/HDD</t>
        </is>
      </c>
    </row>
    <row r="14">
      <c r="A14" s="36" t="inlineStr">
        <is>
          <t>Q1 2026 (Jan 1 - Mar 31, 2026) - NEW WINDOWS</t>
        </is>
      </c>
    </row>
    <row r="16">
      <c r="A16" s="32" t="inlineStr">
        <is>
          <t>Days:</t>
        </is>
      </c>
      <c r="B16" s="37">
        <f>TBD</f>
        <v/>
      </c>
    </row>
    <row r="17">
      <c r="A17" s="32" t="inlineStr">
        <is>
          <t>Average Temperature:</t>
        </is>
      </c>
      <c r="B17" s="37">
        <f>TBD</f>
        <v/>
      </c>
      <c r="C17" s="0" t="inlineStr">
        <is>
          <t>°C</t>
        </is>
      </c>
    </row>
    <row r="18">
      <c r="A18" s="32" t="inlineStr">
        <is>
          <t>Total HDD:</t>
        </is>
      </c>
      <c r="B18" s="37">
        <f>TBD</f>
        <v/>
      </c>
    </row>
    <row r="19">
      <c r="A19" s="32" t="inlineStr">
        <is>
          <t>Average HDD/day:</t>
        </is>
      </c>
      <c r="B19" s="37">
        <f>TBD</f>
        <v/>
      </c>
    </row>
    <row r="21">
      <c r="A21" s="32" t="inlineStr">
        <is>
          <t>Actual Fuel Used:</t>
        </is>
      </c>
      <c r="B21" s="37">
        <f>TBD</f>
        <v/>
      </c>
      <c r="C21" s="0" t="inlineStr">
        <is>
          <t>Liters</t>
        </is>
      </c>
    </row>
    <row r="22">
      <c r="A22" s="32" t="inlineStr">
        <is>
          <t>Efficiency (NEW WINDOWS):</t>
        </is>
      </c>
      <c r="B22" s="37">
        <f>TBD</f>
        <v/>
      </c>
      <c r="C22" s="0" t="inlineStr">
        <is>
          <t>L/HDD</t>
        </is>
      </c>
    </row>
    <row r="25">
      <c r="A25" s="38" t="inlineStr">
        <is>
          <t>WINDOW IMPACT MEASUREMENT</t>
        </is>
      </c>
    </row>
    <row r="27">
      <c r="A27" s="32" t="inlineStr">
        <is>
          <t>Efficiency Improvement:</t>
        </is>
      </c>
      <c r="B27" s="0">
        <f>Waiting for Q1 2026 data</f>
        <v/>
      </c>
      <c r="C27" s="0" t="inlineStr">
        <is>
          <t>%</t>
        </is>
      </c>
    </row>
    <row r="28">
      <c r="A28" s="32" t="inlineStr">
        <is>
          <t>Fuel Savings per HDD:</t>
        </is>
      </c>
      <c r="B28" s="0">
        <f>Waiting for Q1 2026 data</f>
        <v/>
      </c>
      <c r="C28" s="0" t="inlineStr">
        <is>
          <t>L/HDD</t>
        </is>
      </c>
    </row>
    <row r="30">
      <c r="A30" s="32" t="inlineStr">
        <is>
          <t>Annual Fuel Savings:</t>
        </is>
      </c>
      <c r="B30" s="0">
        <f>Waiting for Q1 2026 data</f>
        <v/>
      </c>
      <c r="C30" s="0" t="inlineStr">
        <is>
          <t>Liters/year</t>
        </is>
      </c>
    </row>
    <row r="31">
      <c r="A31" s="32" t="inlineStr">
        <is>
          <t>Annual Cost Savings:</t>
        </is>
      </c>
      <c r="B31" s="0">
        <f>Waiting for Q1 2026 data</f>
        <v/>
      </c>
      <c r="C31" s="0" t="inlineStr">
        <is>
          <t>$/year</t>
        </is>
      </c>
    </row>
    <row r="34">
      <c r="A34" s="39" t="inlineStr">
        <is>
          <t>INSTRUCTIONS:</t>
        </is>
      </c>
    </row>
    <row r="35">
      <c r="A35" s="0" t="inlineStr">
        <is>
          <t>1. Wait until April 2026 (after Q1 2026 is complete)</t>
        </is>
      </c>
    </row>
    <row r="36">
      <c r="A36" s="0" t="inlineStr">
        <is>
          <t>2. Download Jan-Mar 2026 weather data from Environment Canada</t>
        </is>
      </c>
    </row>
    <row r="37">
      <c r="A37" s="0" t="inlineStr">
        <is>
          <t>3. Record your fuel fills from Jan-Mar 2026</t>
        </is>
      </c>
    </row>
    <row r="38">
      <c r="A38" s="0" t="inlineStr">
        <is>
          <t>4. Calculate Q1 2026 L/HDD efficiency</t>
        </is>
      </c>
    </row>
    <row r="39">
      <c r="A39" s="0" t="inlineStr">
        <is>
          <t>5. Compare to Q1 2025 baseline to measure window impact</t>
        </is>
      </c>
    </row>
    <row r="41">
      <c r="A41" s="0" t="inlineStr">
        <is>
          <t>NOTE: Q1 comparison is ideal because:</t>
        </is>
      </c>
    </row>
    <row r="42">
      <c r="A42" s="0" t="inlineStr">
        <is>
          <t xml:space="preserve">  • Coldest period = maximum heating demand</t>
        </is>
      </c>
    </row>
    <row r="43">
      <c r="A43" s="0" t="inlineStr">
        <is>
          <t xml:space="preserve">  • Same seasonal conditions year-over-year</t>
        </is>
      </c>
    </row>
    <row r="44">
      <c r="A44" s="0" t="inlineStr">
        <is>
          <t xml:space="preserve">  • Window impact will be most measurable in cold weather</t>
        </is>
      </c>
    </row>
  </sheetData>
  <mergeCells count="4">
    <mergeCell ref="A3:F3"/>
    <mergeCell ref="A14:F14"/>
    <mergeCell ref="A1:F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2025-11-22T13:45:34Z</dcterms:created>
  <dcterms:modified xmlns:dcterms="http://purl.org/dc/terms/" xmlns:xsi="http://www.w3.org/2001/XMLSchema-instance" xsi:type="dcterms:W3CDTF">2025-11-22T14:30:29Z</dcterms:modified>
</cp:coreProperties>
</file>